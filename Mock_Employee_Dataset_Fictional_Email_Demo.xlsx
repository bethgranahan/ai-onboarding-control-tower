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134c9b40b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Data" sheetId="1" r:id="R861ed25bc5ff46e7"/>
    <x:sheet xmlns:r="http://schemas.openxmlformats.org/officeDocument/2006/relationships" name="Dashboard" sheetId="2" r:id="Re2c9850e01a74dc6"/>
    <x:sheet xmlns:r="http://schemas.openxmlformats.org/officeDocument/2006/relationships" name="Process_Rules" sheetId="3" r:id="Ra74f1e28c8f04fe4"/>
    <x:sheet xmlns:r="http://schemas.openxmlformats.org/officeDocument/2006/relationships" name="Test_Cases" sheetId="4" r:id="R6d7dbd4b5102482c"/>
    <x:sheet xmlns:r="http://schemas.openxmlformats.org/officeDocument/2006/relationships" name="Data_Dictionary" sheetId="5" r:id="R91d9a787b4024dcf"/>
    <x:sheet xmlns:r="http://schemas.openxmlformats.org/officeDocument/2006/relationships" name="Contact_Directory" sheetId="6" r:id="R7ab7cfb1f4164d40"/>
  </x:sheets>
</x:workbook>
</file>

<file path=xl/sharedStrings.xml><?xml version="1.0" encoding="utf-8"?>
<x:sst xmlns:x="http://schemas.openxmlformats.org/spreadsheetml/2006/main">
  <x:si>
    <x:t xml:space="preserve">Employee ID</x:t>
  </x:si>
  <x:si>
    <x:t xml:space="preserve">Employee Name</x:t>
  </x:si>
  <x:si>
    <x:t xml:space="preserve">Department</x:t>
  </x:si>
  <x:si>
    <x:t xml:space="preserve">Start Date</x:t>
  </x:si>
  <x:si>
    <x:t xml:space="preserve">Days to Start</x:t>
  </x:si>
  <x:si>
    <x:t xml:space="preserve">Offer Accepted</x:t>
  </x:si>
  <x:si>
    <x:t xml:space="preserve">Employee Info Form</x:t>
  </x:si>
  <x:si>
    <x:t xml:space="preserve">Federal W-4</x:t>
  </x:si>
  <x:si>
    <x:t xml:space="preserve">Iowa W-4</x:t>
  </x:si>
  <x:si>
    <x:t xml:space="preserve">Direct Deposit</x:t>
  </x:si>
  <x:si>
    <x:t xml:space="preserve">I-9</x:t>
  </x:si>
  <x:si>
    <x:t xml:space="preserve">I-9 Supporting Docs</x:t>
  </x:si>
  <x:si>
    <x:t xml:space="preserve">Property Agreement</x:t>
  </x:si>
  <x:si>
    <x:t xml:space="preserve">Internet Use Policy</x:t>
  </x:si>
  <x:si>
    <x:t xml:space="preserve">Payroll Authorization</x:t>
  </x:si>
  <x:si>
    <x:t xml:space="preserve">Email/Computer Request</x:t>
  </x:si>
  <x:si>
    <x:t xml:space="preserve">Handbook Ack</x:t>
  </x:si>
  <x:si>
    <x:t xml:space="preserve">SafeColleges</x:t>
  </x:si>
  <x:si>
    <x:t xml:space="preserve">Core Checklist %</x:t>
  </x:si>
  <x:si>
    <x:t xml:space="preserve">Core Checklist Ready?</x:t>
  </x:si>
  <x:si>
    <x:t xml:space="preserve">HRIS Employee ID</x:t>
  </x:si>
  <x:si>
    <x:t xml:space="preserve">Payroll Screens</x:t>
  </x:si>
  <x:si>
    <x:t xml:space="preserve">HR Notified IT</x:t>
  </x:si>
  <x:si>
    <x:t xml:space="preserve">IT Email/System Access</x:t>
  </x:si>
  <x:si>
    <x:t xml:space="preserve">Current Stage</x:t>
  </x:si>
  <x:si>
    <x:t xml:space="preserve">Primary Bottleneck</x:t>
  </x:si>
  <x:si>
    <x:t xml:space="preserve">Blocked Downstream Task</x:t>
  </x:si>
  <x:si>
    <x:t xml:space="preserve">Next Action</x:t>
  </x:si>
  <x:si>
    <x:t xml:space="preserve">Responsible Party</x:t>
  </x:si>
  <x:si>
    <x:t xml:space="preserve">Risk Level</x:t>
  </x:si>
  <x:si>
    <x:t xml:space="preserve">Exception Flag</x:t>
  </x:si>
  <x:si>
    <x:t xml:space="preserve">Scenario Tag</x:t>
  </x:si>
  <x:si>
    <x:t xml:space="preserve">NH001</x:t>
  </x:si>
  <x:si>
    <x:t xml:space="preserve">Jordan Lee</x:t>
  </x:si>
  <x:si>
    <x:t xml:space="preserve">Academic Affairs</x:t>
  </x:si>
  <x:si>
    <x:t xml:space="preserve">Complete</x:t>
  </x:si>
  <x:si>
    <x:t xml:space="preserve">Not Started</x:t>
  </x:si>
  <x:si>
    <x:t xml:space="preserve">Not Created</x:t>
  </x:si>
  <x:si>
    <x:t xml:space="preserve">No</x:t>
  </x:si>
  <x:si>
    <x:t xml:space="preserve">A - Not Started</x:t>
  </x:si>
  <x:si>
    <x:t xml:space="preserve">NH002</x:t>
  </x:si>
  <x:si>
    <x:t xml:space="preserve">Morgan Davis</x:t>
  </x:si>
  <x:si>
    <x:t xml:space="preserve">Student Services</x:t>
  </x:si>
  <x:si>
    <x:t xml:space="preserve">NH003</x:t>
  </x:si>
  <x:si>
    <x:t xml:space="preserve">Taylor Smith</x:t>
  </x:si>
  <x:si>
    <x:t xml:space="preserve">Finance</x:t>
  </x:si>
  <x:si>
    <x:t xml:space="preserve">NH004</x:t>
  </x:si>
  <x:si>
    <x:t xml:space="preserve">Casey Nguyen</x:t>
  </x:si>
  <x:si>
    <x:t xml:space="preserve">Facilities</x:t>
  </x:si>
  <x:si>
    <x:t xml:space="preserve">NH005</x:t>
  </x:si>
  <x:si>
    <x:t xml:space="preserve">Riley Carter</x:t>
  </x:si>
  <x:si>
    <x:t xml:space="preserve">Human Resources</x:t>
  </x:si>
  <x:si>
    <x:t xml:space="preserve">In Progress</x:t>
  </x:si>
  <x:si>
    <x:t xml:space="preserve">B - Checklist In Progress</x:t>
  </x:si>
  <x:si>
    <x:t xml:space="preserve">NH006</x:t>
  </x:si>
  <x:si>
    <x:t xml:space="preserve">Jamie Patel</x:t>
  </x:si>
  <x:si>
    <x:t xml:space="preserve">Information Technology</x:t>
  </x:si>
  <x:si>
    <x:t xml:space="preserve">NH007</x:t>
  </x:si>
  <x:si>
    <x:t xml:space="preserve">Alex Johnson</x:t>
  </x:si>
  <x:si>
    <x:t xml:space="preserve">Enrollment Services</x:t>
  </x:si>
  <x:si>
    <x:t xml:space="preserve">NH008</x:t>
  </x:si>
  <x:si>
    <x:t xml:space="preserve">Sam Wilson</x:t>
  </x:si>
  <x:si>
    <x:t xml:space="preserve">Business Services</x:t>
  </x:si>
  <x:si>
    <x:t xml:space="preserve">NH009</x:t>
  </x:si>
  <x:si>
    <x:t xml:space="preserve">Avery Brooks</x:t>
  </x:si>
  <x:si>
    <x:t xml:space="preserve">Continuing Education</x:t>
  </x:si>
  <x:si>
    <x:t xml:space="preserve">NH010</x:t>
  </x:si>
  <x:si>
    <x:t xml:space="preserve">Cameron Reed</x:t>
  </x:si>
  <x:si>
    <x:t xml:space="preserve">Library</x:t>
  </x:si>
  <x:si>
    <x:t xml:space="preserve">NH011</x:t>
  </x:si>
  <x:si>
    <x:t xml:space="preserve">Drew Martinez</x:t>
  </x:si>
  <x:si>
    <x:t xml:space="preserve">Marketing</x:t>
  </x:si>
  <x:si>
    <x:t xml:space="preserve">Missing</x:t>
  </x:si>
  <x:si>
    <x:t xml:space="preserve">Blocked</x:t>
  </x:si>
  <x:si>
    <x:t xml:space="preserve">C - Payroll Documents Missing</x:t>
  </x:si>
  <x:si>
    <x:t xml:space="preserve">NH012</x:t>
  </x:si>
  <x:si>
    <x:t xml:space="preserve">Quinn Parker</x:t>
  </x:si>
  <x:si>
    <x:t xml:space="preserve">Allied Health</x:t>
  </x:si>
  <x:si>
    <x:t xml:space="preserve">NH013</x:t>
  </x:si>
  <x:si>
    <x:t xml:space="preserve">Emerson Clark</x:t>
  </x:si>
  <x:si>
    <x:t xml:space="preserve">Nursing</x:t>
  </x:si>
  <x:si>
    <x:t xml:space="preserve">NH014</x:t>
  </x:si>
  <x:si>
    <x:t xml:space="preserve">Hayden Ross</x:t>
  </x:si>
  <x:si>
    <x:t xml:space="preserve">Arts &amp; Sciences</x:t>
  </x:si>
  <x:si>
    <x:t xml:space="preserve">NH015</x:t>
  </x:si>
  <x:si>
    <x:t xml:space="preserve">Peyton Bailey</x:t>
  </x:si>
  <x:si>
    <x:t xml:space="preserve">Public Safety</x:t>
  </x:si>
  <x:si>
    <x:t xml:space="preserve">NH016</x:t>
  </x:si>
  <x:si>
    <x:t xml:space="preserve">Rowan Morgan</x:t>
  </x:si>
  <x:si>
    <x:t xml:space="preserve">Foundation</x:t>
  </x:si>
  <x:si>
    <x:t xml:space="preserve">D - Ready for HRIS</x:t>
  </x:si>
  <x:si>
    <x:t xml:space="preserve">NH017</x:t>
  </x:si>
  <x:si>
    <x:t xml:space="preserve">Skyler Bennett</x:t>
  </x:si>
  <x:si>
    <x:t xml:space="preserve">Workforce Development</x:t>
  </x:si>
  <x:si>
    <x:t xml:space="preserve">NH018</x:t>
  </x:si>
  <x:si>
    <x:t xml:space="preserve">Reese Turner</x:t>
  </x:si>
  <x:si>
    <x:t xml:space="preserve">Athletics</x:t>
  </x:si>
  <x:si>
    <x:t xml:space="preserve">NH019</x:t>
  </x:si>
  <x:si>
    <x:t xml:space="preserve">Dakota Price</x:t>
  </x:si>
  <x:si>
    <x:t xml:space="preserve">NH020</x:t>
  </x:si>
  <x:si>
    <x:t xml:space="preserve">Finley Adams</x:t>
  </x:si>
  <x:si>
    <x:t xml:space="preserve">Created</x:t>
  </x:si>
  <x:si>
    <x:t xml:space="preserve">E - Compliance Pending</x:t>
  </x:si>
  <x:si>
    <x:t xml:space="preserve">NH021</x:t>
  </x:si>
  <x:si>
    <x:t xml:space="preserve">Logan Rivera</x:t>
  </x:si>
  <x:si>
    <x:t xml:space="preserve">NH022</x:t>
  </x:si>
  <x:si>
    <x:t xml:space="preserve">Charlie Foster</x:t>
  </x:si>
  <x:si>
    <x:t xml:space="preserve">NH023</x:t>
  </x:si>
  <x:si>
    <x:t xml:space="preserve">Sydney Collins</x:t>
  </x:si>
  <x:si>
    <x:t xml:space="preserve">NH024</x:t>
  </x:si>
  <x:si>
    <x:t xml:space="preserve">Parker Murphy</x:t>
  </x:si>
  <x:si>
    <x:t xml:space="preserve">NH025</x:t>
  </x:si>
  <x:si>
    <x:t xml:space="preserve">Blake Cooper</x:t>
  </x:si>
  <x:si>
    <x:t xml:space="preserve">F - Ready for IT</x:t>
  </x:si>
  <x:si>
    <x:t xml:space="preserve">NH026</x:t>
  </x:si>
  <x:si>
    <x:t xml:space="preserve">Kendall Ward</x:t>
  </x:si>
  <x:si>
    <x:t xml:space="preserve">NH027</x:t>
  </x:si>
  <x:si>
    <x:t xml:space="preserve">Jesse Flores</x:t>
  </x:si>
  <x:si>
    <x:t xml:space="preserve">NH028</x:t>
  </x:si>
  <x:si>
    <x:t xml:space="preserve">Robin Hughes</x:t>
  </x:si>
  <x:si>
    <x:t xml:space="preserve">Yes</x:t>
  </x:si>
  <x:si>
    <x:t xml:space="preserve">G - IT Provisioning</x:t>
  </x:si>
  <x:si>
    <x:t xml:space="preserve">NH029</x:t>
  </x:si>
  <x:si>
    <x:t xml:space="preserve">Micah Perry</x:t>
  </x:si>
  <x:si>
    <x:t xml:space="preserve">NH030</x:t>
  </x:si>
  <x:si>
    <x:t xml:space="preserve">Devon Sanders</x:t>
  </x:si>
  <x:si>
    <x:t xml:space="preserve">NH031</x:t>
  </x:si>
  <x:si>
    <x:t xml:space="preserve">Harper Kelly</x:t>
  </x:si>
  <x:si>
    <x:t xml:space="preserve">H - Fully Operational</x:t>
  </x:si>
  <x:si>
    <x:t xml:space="preserve">NH032</x:t>
  </x:si>
  <x:si>
    <x:t xml:space="preserve">Elliot James</x:t>
  </x:si>
  <x:si>
    <x:t xml:space="preserve">NH033</x:t>
  </x:si>
  <x:si>
    <x:t xml:space="preserve">Sage Bell</x:t>
  </x:si>
  <x:si>
    <x:t xml:space="preserve">NH034</x:t>
  </x:si>
  <x:si>
    <x:t xml:space="preserve">Marley Wood</x:t>
  </x:si>
  <x:si>
    <x:t xml:space="preserve">NH035</x:t>
  </x:si>
  <x:si>
    <x:t xml:space="preserve">Tatum Gray</x:t>
  </x:si>
  <x:si>
    <x:t xml:space="preserve">At Risk</x:t>
  </x:si>
  <x:si>
    <x:t xml:space="preserve">I - Exception Payroll Risk</x:t>
  </x:si>
  <x:si>
    <x:t xml:space="preserve">NH036</x:t>
  </x:si>
  <x:si>
    <x:t xml:space="preserve">Arden Cook</x:t>
  </x:si>
  <x:si>
    <x:t xml:space="preserve">Mock Onboarding Dashboard</x:t>
  </x:si>
  <x:si>
    <x:t xml:space="preserve">As-of date: 09/17/2026 | Fictional data for MBA:8240 prototype testing</x:t>
  </x:si>
  <x:si>
    <x:t xml:space="preserve">Metric</x:t>
  </x:si>
  <x:si>
    <x:t xml:space="preserve">Value</x:t>
  </x:si>
  <x:si>
    <x:t xml:space="preserve">Count</x:t>
  </x:si>
  <x:si>
    <x:t xml:space="preserve">Total Mock Employees</x:t>
  </x:si>
  <x:si>
    <x:t xml:space="preserve">Fully Operational</x:t>
  </x:si>
  <x:si>
    <x:t xml:space="preserve">Checklist In Progress</x:t>
  </x:si>
  <x:si>
    <x:t xml:space="preserve">High/Critical Risk</x:t>
  </x:si>
  <x:si>
    <x:t xml:space="preserve">Ready for HRIS Setup</x:t>
  </x:si>
  <x:si>
    <x:t xml:space="preserve">Compliance Pending</x:t>
  </x:si>
  <x:si>
    <x:t xml:space="preserve">Ready for HRIS</x:t>
  </x:si>
  <x:si>
    <x:t xml:space="preserve">Ready for IT Notification</x:t>
  </x:si>
  <x:si>
    <x:t xml:space="preserve">Ready for IT</x:t>
  </x:si>
  <x:si>
    <x:t xml:space="preserve">IT Provisioning</x:t>
  </x:si>
  <x:si>
    <x:t xml:space="preserve">Payroll Risk Exceptions</x:t>
  </x:si>
  <x:si>
    <x:t xml:space="preserve">Exception / Payroll Risk</x:t>
  </x:si>
  <x:si>
    <x:t xml:space="preserve">Process Rules / Assumptions</x:t>
  </x:si>
  <x:si>
    <x:t xml:space="preserve">Value / Definition</x:t>
  </x:si>
  <x:si>
    <x:t xml:space="preserve">As-of Date</x:t>
  </x:si>
  <x:si>
    <x:t xml:space="preserve">HRIS readiness</x:t>
  </x:si>
  <x:si>
    <x:t xml:space="preserve">Preferred practice: all core checklist items except SafeColleges are complete before HR creates the employee ID.</x:t>
  </x:si>
  <x:si>
    <x:t xml:space="preserve">Payroll setup</x:t>
  </x:si>
  <x:si>
    <x:t xml:space="preserve">Federal W-4, Iowa W-4, and Direct Deposit should be complete when HR creates the employee ID so payroll screens can be completed at the same time.</x:t>
  </x:si>
  <x:si>
    <x:t xml:space="preserve">Exception risk</x:t>
  </x:si>
  <x:si>
    <x:t xml:space="preserve">HRIS ID can be created early when onboarding must move quickly, but missing W-4/direct-deposit information creates payroll risk and should be flagged.</x:t>
  </x:si>
  <x:si>
    <x:t xml:space="preserve">IT access gate</x:t>
  </x:si>
  <x:si>
    <x:t xml:space="preserve">SafeColleges must be complete before HR notifies IT that the employee is cleared for email/system access.</x:t>
  </x:si>
  <x:si>
    <x:t xml:space="preserve">Blocked work</x:t>
  </x:si>
  <x:si>
    <x:t xml:space="preserve">If an upstream prerequisite is incomplete, the dependent downstream task should be displayed as blocked.</x:t>
  </x:si>
  <x:si>
    <x:t xml:space="preserve">Prototype boundary</x:t>
  </x:si>
  <x:si>
    <x:t xml:space="preserve">Use only the supplied data and rules. Do not invent HR requirements or make employment decisions.</x:t>
  </x:si>
  <x:si>
    <x:t xml:space="preserve">Scenario</x:t>
  </x:si>
  <x:si>
    <x:t xml:space="preserve">Use These Employee Rows</x:t>
  </x:si>
  <x:si>
    <x:t xml:space="preserve">Expected Stage</x:t>
  </x:si>
  <x:si>
    <x:t xml:space="preserve">Expected Bottleneck</x:t>
  </x:si>
  <x:si>
    <x:t xml:space="preserve">Expected Next Action</x:t>
  </x:si>
  <x:si>
    <x:t xml:space="preserve">What This Tests</x:t>
  </x:si>
  <x:si>
    <x:t xml:space="preserve">NH001-NH004</x:t>
  </x:si>
  <x:si>
    <x:t xml:space="preserve">Checklist not begun</x:t>
  </x:si>
  <x:si>
    <x:t xml:space="preserve">New hire begins required checklist items</x:t>
  </x:si>
  <x:si>
    <x:t xml:space="preserve">Beginning of process</x:t>
  </x:si>
  <x:si>
    <x:t xml:space="preserve">NH011-NH015</x:t>
  </x:si>
  <x:si>
    <x:t xml:space="preserve">Payroll prerequisite</x:t>
  </x:si>
  <x:si>
    <x:t xml:space="preserve">New hire submits missing payroll documents</x:t>
  </x:si>
  <x:si>
    <x:t xml:space="preserve">HRIS/payroll readiness gate</x:t>
  </x:si>
  <x:si>
    <x:t xml:space="preserve">NH016-NH019</x:t>
  </x:si>
  <x:si>
    <x:t xml:space="preserve">HRIS setup</x:t>
  </x:si>
  <x:si>
    <x:t xml:space="preserve">HR creates HRIS employee ID and payroll screens</x:t>
  </x:si>
  <x:si>
    <x:t xml:space="preserve">Preferred HR handoff</x:t>
  </x:si>
  <x:si>
    <x:t xml:space="preserve">NH020-NH024</x:t>
  </x:si>
  <x:si>
    <x:t xml:space="preserve">New hire completes SafeColleges</x:t>
  </x:si>
  <x:si>
    <x:t xml:space="preserve">NH025-NH027</x:t>
  </x:si>
  <x:si>
    <x:t xml:space="preserve">HR-to-IT handoff</x:t>
  </x:si>
  <x:si>
    <x:t xml:space="preserve">HR notifies IT</x:t>
  </x:si>
  <x:si>
    <x:t xml:space="preserve">Next-owner identification</x:t>
  </x:si>
  <x:si>
    <x:t xml:space="preserve">NH028-NH030</x:t>
  </x:si>
  <x:si>
    <x:t xml:space="preserve">IT access setup</x:t>
  </x:si>
  <x:si>
    <x:t xml:space="preserve">IT completes email/system access</x:t>
  </x:si>
  <x:si>
    <x:t xml:space="preserve">Downstream stakeholder bottleneck</x:t>
  </x:si>
  <x:si>
    <x:t xml:space="preserve">NH031-NH034</x:t>
  </x:si>
  <x:si>
    <x:t xml:space="preserve">None</x:t>
  </x:si>
  <x:si>
    <x:t xml:space="preserve">No action needed</x:t>
  </x:si>
  <x:si>
    <x:t xml:space="preserve">No false alerts</x:t>
  </x:si>
  <x:si>
    <x:t xml:space="preserve">NH035-NH036</x:t>
  </x:si>
  <x:si>
    <x:t xml:space="preserve">Missing payroll information</x:t>
  </x:si>
  <x:si>
    <x:t xml:space="preserve">Submit missing tax/direct-deposit information; HR verifies payroll screens</x:t>
  </x:si>
  <x:si>
    <x:t xml:space="preserve">Real-world exception and rework risk</x:t>
  </x:si>
  <x:si>
    <x:t xml:space="preserve">Field</x:t>
  </x:si>
  <x:si>
    <x:t xml:space="preserve">Meaning / Use</x:t>
  </x:si>
  <x:si>
    <x:t xml:space="preserve">Core checklist fields (G:Q)</x:t>
  </x:si>
  <x:si>
    <x:t xml:space="preserve">Mock representation of current HR onboarding checklist items other than SafeColleges.</x:t>
  </x:si>
  <x:si>
    <x:t xml:space="preserve">Required compliance training. Completion is the gate before HR clears the employee for IT email/system access.</x:t>
  </x:si>
  <x:si>
    <x:t xml:space="preserve">Formula: percentage of core checklist items marked Complete.</x:t>
  </x:si>
  <x:si>
    <x:t xml:space="preserve">Formula: Ready only when every core checklist item is Complete.</x:t>
  </x:si>
  <x:si>
    <x:t xml:space="preserve">Whether HR has created the employee ID in the HRIS.</x:t>
  </x:si>
  <x:si>
    <x:t xml:space="preserve">Status of payroll setup. Preferred to complete at the same time as HRIS ID creation when W-4/direct-deposit information is available.</x:t>
  </x:si>
  <x:si>
    <x:t xml:space="preserve">Whether HR has told IT the employee is cleared for email/system access.</x:t>
  </x:si>
  <x:si>
    <x:t xml:space="preserve">Status of email and required system access.</x:t>
  </x:si>
  <x:si>
    <x:t xml:space="preserve">Formula-derived process stage based on the business rules.</x:t>
  </x:si>
  <x:si>
    <x:t xml:space="preserve">Formula-derived main constraint preventing progress.</x:t>
  </x:si>
  <x:si>
    <x:t xml:space="preserve">Formula-derived work that cannot proceed because of the current bottleneck.</x:t>
  </x:si>
  <x:si>
    <x:t xml:space="preserve">Formula-derived next step for the case.</x:t>
  </x:si>
  <x:si>
    <x:t xml:space="preserve">Formula-derived owner of the next action.</x:t>
  </x:si>
  <x:si>
    <x:t xml:space="preserve">Formula based on days to start and whether onboarding is complete. Intended for classroom demonstration only.</x:t>
  </x:si>
  <x:si>
    <x:t xml:space="preserve">Flags HRIS IDs created before W-4/direct-deposit completion.</x:t>
  </x:si>
  <x:si>
    <x:t xml:space="preserve">Groups employees into test scenarios for prototype validation.</x:t>
  </x:si>
</x:sst>
</file>

<file path=xl/styles.xml><?xml version="1.0" encoding="utf-8"?>
<x:styleSheet xmlns:x="http://schemas.openxmlformats.org/spreadsheetml/2006/main">
  <x:numFmts count="1">
    <x:numFmt numFmtId="164" formatCode="mm/dd/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2" fillId="2" borderId="0" xfId="0" applyFont="1" applyFill="1" applyAlignment="1">
      <x:alignment horizontal="center"/>
    </x:xf>
    <x:xf numFmtId="0" fontId="3" fillId="3" borderId="0" xfId="0" applyFont="1" applyFill="1" applyAlignment="1">
      <x:alignment horizontal="center"/>
    </x:xf>
    <x:xf numFmtId="0" fontId="4" fillId="2" borderId="0" xfId="0" applyFont="1" applyFill="1" applyAlignment="1">
      <x:alignment horizontal="center" vertical="top" wrapText="1"/>
    </x:xf>
    <x:xf numFmtId="0" fontId="5" fillId="0" borderId="0" xfId="0" applyFont="1" applyAlignment="1">
      <x:alignment vertical="top" wrapText="1"/>
    </x:xf>
    <x:xf numFmtId="0" fontId="5" fillId="0" borderId="0" xfId="0" applyFont="1"/>
    <x:xf numFmtId="164" fontId="5" fillId="0" borderId="0" xfId="0" applyNumberFormat="1" applyFont="1" applyAlignment="1">
      <x:alignment vertical="top" wrapText="1"/>
    </x:xf>
    <x:xf numFmtId="9" fontId="5" fillId="0" borderId="0" xfId="0" applyNumberFormat="1" applyFont="1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164" fontId="5" fillId="0" borderId="1" xfId="0" applyNumberFormat="1" applyFont="1" applyFill="1" applyBorder="1" applyAlignment="1">
      <x:alignment vertical="top" wrapText="1"/>
    </x:xf>
    <x:xf numFmtId="9" fontId="5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3"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u val="none"/>
        <x:sz val="11"/>
        <x:name val="Calibri"/>
        <x:family val="2"/>
        <x:scheme val="minor"/>
      </x:font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15a9e61504991" /><Relationship Type="http://schemas.openxmlformats.org/officeDocument/2006/relationships/theme" Target="/xl/theme/theme1.xml" Id="Rdd94ce86d69a4d0d" /><Relationship Type="http://schemas.openxmlformats.org/officeDocument/2006/relationships/sharedStrings" Target="/xl/sharedStrings.xml" Id="R196f6bb807ba4622" /><Relationship Type="http://schemas.openxmlformats.org/officeDocument/2006/relationships/worksheet" Target="/xl/worksheets/sheet1.xml" Id="R861ed25bc5ff46e7" /><Relationship Type="http://schemas.openxmlformats.org/officeDocument/2006/relationships/worksheet" Target="/xl/worksheets/sheet2.xml" Id="Re2c9850e01a74dc6" /><Relationship Type="http://schemas.openxmlformats.org/officeDocument/2006/relationships/worksheet" Target="/xl/worksheets/sheet3.xml" Id="Ra74f1e28c8f04fe4" /><Relationship Type="http://schemas.openxmlformats.org/officeDocument/2006/relationships/worksheet" Target="/xl/worksheets/sheet4.xml" Id="R6d7dbd4b5102482c" /><Relationship Type="http://schemas.openxmlformats.org/officeDocument/2006/relationships/worksheet" Target="/xl/worksheets/sheet5.xml" Id="R91d9a787b4024dcf" /><Relationship Type="http://schemas.openxmlformats.org/officeDocument/2006/relationships/worksheet" Target="/xl/worksheets/sheet6.xml" Id="R7ab7cfb1f4164d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63d8bdbcbb47e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Employees by Current Stage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Dashboard!$D$5:$D$12</c:f>
              <c:strCache>
                <c:ptCount val="8"/>
                <c:pt idx="0">
                  <c:v>Not Started</c:v>
                </c:pt>
                <c:pt idx="1">
                  <c:v>Checklist In Progress</c:v>
                </c:pt>
                <c:pt idx="2">
                  <c:v>Ready for HRIS Setup</c:v>
                </c:pt>
                <c:pt idx="3">
                  <c:v>Compliance Pending</c:v>
                </c:pt>
                <c:pt idx="4">
                  <c:v>Ready for IT Notification</c:v>
                </c:pt>
                <c:pt idx="5">
                  <c:v>IT Provisioning</c:v>
                </c:pt>
                <c:pt idx="6">
                  <c:v>Exception / Payroll Risk</c:v>
                </c:pt>
                <c:pt idx="7">
                  <c:v>Fully Operational</c:v>
                </c:pt>
              </c:strCache>
            </c:strRef>
          </c:cat>
          <c:val>
            <c:numRef>
              <c:f>Dashboard!$E$5:$E$12</c:f>
              <c:numCache>
                <c:formatCode>General</c:formatCode>
                <c:ptCount val="8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63d8bdbcbb47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OnboardingTable" displayName="EmployeeOnboardingTable" ref="A1:AF37" totalsRowShown="0">
  <x:tableColumns count="32">
    <x:tableColumn id="1" name="Employee ID" dataDxfId="33"/>
    <x:tableColumn id="2" name="Employee Name" dataDxfId="32"/>
    <x:tableColumn id="3" name="Department" dataDxfId="31"/>
    <x:tableColumn id="4" name="Start Date" dataDxfId="30"/>
    <x:tableColumn id="5" name="Days to Start" dataDxfId="29"/>
    <x:tableColumn id="6" name="Offer Accepted" dataDxfId="28"/>
    <x:tableColumn id="7" name="Employee Info Form" dataDxfId="27"/>
    <x:tableColumn id="8" name="Federal W-4" dataDxfId="26"/>
    <x:tableColumn id="9" name="Iowa W-4" dataDxfId="25"/>
    <x:tableColumn id="10" name="Direct Deposit" dataDxfId="24"/>
    <x:tableColumn id="11" name="I-9" dataDxfId="23"/>
    <x:tableColumn id="12" name="I-9 Supporting Docs" dataDxfId="22"/>
    <x:tableColumn id="13" name="Property Agreement" dataDxfId="21"/>
    <x:tableColumn id="14" name="Internet Use Policy" dataDxfId="20"/>
    <x:tableColumn id="15" name="Payroll Authorization" dataDxfId="19"/>
    <x:tableColumn id="16" name="Email/Computer Request" dataDxfId="18"/>
    <x:tableColumn id="17" name="Handbook Ack" dataDxfId="17"/>
    <x:tableColumn id="18" name="SafeColleges" dataDxfId="16"/>
    <x:tableColumn id="19" name="Core Checklist %" dataDxfId="15"/>
    <x:tableColumn id="20" name="Core Checklist Ready?" dataDxfId="14"/>
    <x:tableColumn id="21" name="HRIS Employee ID" dataDxfId="13"/>
    <x:tableColumn id="22" name="Payroll Screens" dataDxfId="12"/>
    <x:tableColumn id="23" name="HR Notified IT" dataDxfId="11"/>
    <x:tableColumn id="24" name="IT Email/System Access" dataDxfId="10"/>
    <x:tableColumn id="25" name="Current Stage" dataDxfId="9"/>
    <x:tableColumn id="26" name="Primary Bottleneck" dataDxfId="8"/>
    <x:tableColumn id="27" name="Blocked Downstream Task" dataDxfId="7"/>
    <x:tableColumn id="28" name="Next Action" dataDxfId="6"/>
    <x:tableColumn id="29" name="Responsible Party" dataDxfId="5"/>
    <x:tableColumn id="30" name="Risk Level" dataDxfId="4"/>
    <x:tableColumn id="31" name="Exception Flag" dataDxfId="3"/>
    <x:tableColumn id="32" name="Scenario Tag" dataDxfId="2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9014a2250d4f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103a1827574d43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0" style="8" customWidth="1"/>
    <x:col min="2" max="2" width="17" style="8" customWidth="1"/>
    <x:col min="3" max="3" width="18" style="8" customWidth="1"/>
    <x:col min="4" max="4" width="11" style="8" customWidth="1"/>
    <x:col min="5" max="5" width="10" style="8" customWidth="1"/>
    <x:col min="6" max="6" width="11" style="8" customWidth="1"/>
    <x:col min="7" max="18" width="14" style="8" customWidth="1"/>
    <x:col min="19" max="19" width="12" style="8" customWidth="1"/>
    <x:col min="20" max="20" width="15" style="8" customWidth="1"/>
    <x:col min="21" max="22" width="14" style="8" customWidth="1"/>
    <x:col min="23" max="23" width="12" style="8" customWidth="1"/>
    <x:col min="24" max="24" width="16" style="8" customWidth="1"/>
    <x:col min="25" max="25" width="21" style="8" customWidth="1"/>
    <x:col min="26" max="26" width="22" style="8" customWidth="1"/>
    <x:col min="27" max="27" width="23" style="8" customWidth="1"/>
    <x:col min="28" max="28" width="38" style="8" customWidth="1"/>
    <x:col min="29" max="29" width="16" style="8" customWidth="1"/>
    <x:col min="30" max="30" width="12" style="8" customWidth="1"/>
    <x:col min="31" max="31" width="22" style="8" customWidth="1"/>
    <x:col min="32" max="32" width="24" style="8" customWidth="1"/>
    <x:col min="33" max="16384" width="8.796875" style="8" customWidth="0"/>
    <x:col min="33" max="33" width="28" hidden="0" customWidth="1"/>
    <x:col min="34" max="34" width="28" hidden="0" customWidth="1"/>
    <x:col min="35" max="35" width="32" hidden="0" customWidth="1"/>
    <x:col min="36" max="36" width="22" hidden="0" customWidth="1"/>
  </x:cols>
  <x:sheetData>
    <x:row r="1" ht="27.149999618530273" customHeight="1">
      <x:c r="A1" s="6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7" t="s">
        <x:v>10</x:v>
      </x:c>
      <x:c r="L1" s="7" t="s">
        <x:v>11</x:v>
      </x:c>
      <x:c r="M1" s="7" t="s">
        <x:v>12</x:v>
      </x:c>
      <x:c r="N1" s="7" t="s">
        <x:v>13</x:v>
      </x:c>
      <x:c r="O1" s="7" t="s">
        <x:v>14</x:v>
      </x:c>
      <x:c r="P1" s="7" t="s">
        <x:v>15</x:v>
      </x:c>
      <x:c r="Q1" s="7" t="s">
        <x:v>16</x:v>
      </x:c>
      <x:c r="R1" s="7" t="s">
        <x:v>17</x:v>
      </x:c>
      <x:c r="S1" s="7" t="s">
        <x:v>18</x:v>
      </x:c>
      <x:c r="T1" s="7" t="s">
        <x:v>19</x:v>
      </x:c>
      <x:c r="U1" s="7" t="s">
        <x:v>20</x:v>
      </x:c>
      <x:c r="V1" s="7" t="s">
        <x:v>21</x:v>
      </x:c>
      <x:c r="W1" s="7" t="s">
        <x:v>22</x:v>
      </x:c>
      <x:c r="X1" s="7" t="s">
        <x:v>23</x:v>
      </x:c>
      <x:c r="Y1" s="7" t="s">
        <x:v>24</x:v>
      </x:c>
      <x:c r="Z1" s="7" t="s">
        <x:v>25</x:v>
      </x:c>
      <x:c r="AA1" s="7" t="s">
        <x:v>26</x:v>
      </x:c>
      <x:c r="AB1" s="7" t="s">
        <x:v>27</x:v>
      </x:c>
      <x:c r="AC1" s="7" t="s">
        <x:v>28</x:v>
      </x:c>
      <x:c r="AD1" s="7" t="s">
        <x:v>29</x:v>
      </x:c>
      <x:c r="AE1" s="7" t="s">
        <x:v>30</x:v>
      </x:c>
      <x:c r="AF1" s="7" t="s">
        <x:v>31</x:v>
      </x:c>
      <x:c r="AG1" s="30" t="str">
        <x:v>Employee Email</x:v>
      </x:c>
      <x:c r="AH1" s="30" t="str">
        <x:v>Supervisor Name</x:v>
      </x:c>
      <x:c r="AI1" s="30" t="str">
        <x:v>Supervisor Email</x:v>
      </x:c>
      <x:c r="AJ1" s="30" t="str">
        <x:v>Preferred Reminder Channel</x:v>
      </x:c>
    </x:row>
    <x:row r="2">
      <x:c r="A2" s="7" t="s">
        <x:v>32</x:v>
      </x:c>
      <x:c r="B2" s="7" t="s">
        <x:v>33</x:v>
      </x:c>
      <x:c r="C2" s="7" t="s">
        <x:v>34</x:v>
      </x:c>
      <x:c r="D2" s="9">
        <x:v>46307</x:v>
      </x:c>
      <x:c r="E2" s="7" t="n">
        <x:f>D2-Process_Rules!$B$2</x:f>
        <x:v>25</x:v>
      </x:c>
      <x:c r="F2" s="7" t="s">
        <x:v>35</x:v>
      </x:c>
      <x:c r="G2" s="7" t="s">
        <x:v>36</x:v>
      </x:c>
      <x:c r="H2" s="7" t="s">
        <x:v>36</x:v>
      </x:c>
      <x:c r="I2" s="7" t="s">
        <x:v>36</x:v>
      </x:c>
      <x:c r="J2" s="7" t="s">
        <x:v>36</x:v>
      </x:c>
      <x:c r="K2" s="7" t="s">
        <x:v>36</x:v>
      </x:c>
      <x:c r="L2" s="7" t="s">
        <x:v>36</x:v>
      </x:c>
      <x:c r="M2" s="7" t="s">
        <x:v>36</x:v>
      </x:c>
      <x:c r="N2" s="7" t="s">
        <x:v>36</x:v>
      </x:c>
      <x:c r="O2" s="7" t="s">
        <x:v>36</x:v>
      </x:c>
      <x:c r="P2" s="7" t="s">
        <x:v>36</x:v>
      </x:c>
      <x:c r="Q2" s="7" t="s">
        <x:v>36</x:v>
      </x:c>
      <x:c r="R2" s="7" t="s">
        <x:v>36</x:v>
      </x:c>
      <x:c r="S2" s="10" t="n">
        <x:f t="shared" ref="S2:S37" si="0">COUNTIF(G2:Q2,"Complete")/COUNTA(G2:Q2)</x:f>
        <x:v>0</x:v>
      </x:c>
      <x:c r="T2" s="7" t="str">
        <x:f t="shared" ref="T2:T37" si="1">IF(COUNTIF(G2:Q2,"Complete")=COLUMNS(G2:Q2),"Ready","Not Ready")</x:f>
        <x:v>Not Ready</x:v>
      </x:c>
      <x:c r="U2" s="7" t="s">
        <x:v>37</x:v>
      </x:c>
      <x:c r="V2" s="7" t="s">
        <x:v>36</x:v>
      </x:c>
      <x:c r="W2" s="7" t="s">
        <x:v>38</x:v>
      </x:c>
      <x:c r="X2" s="7" t="s">
        <x:v>36</x:v>
      </x:c>
      <x:c r="Y2" s="7" t="str">
        <x:f t="shared" ref="Y2:Y37" si="2">IF(X2="Complete","Fully Operational",IF(AND(U2="Created",OR(H2&lt;&gt;"Complete",I2&lt;&gt;"Complete",J2&lt;&gt;"Complete")),"Exception / Payroll Risk",IF(W2="Yes","IT Provisioning",IF(AND(U2="Created",R2="Complete"),"Ready for IT Notification",IF(U2="Created","Compliance Pending",IF(T2="Ready","Ready for HRIS Setup",IF(AND(S2=0,R2="Not Started"),"Not Started","Checklist In Progress")))))))</x:f>
        <x:v>Not Started</x:v>
      </x:c>
      <x:c r="Z2" s="7" t="str">
        <x:f t="shared" ref="Z2:Z37" si="3">IF(Y2="Fully Operational","None",IF(Y2="Not Started","Checklist not begun",IF(Y2="Exception / Payroll Risk","Missing payroll information",IF(Y2="IT Provisioning","IT access setup",IF(Y2="Ready for IT Notification","HR-to-IT handoff",IF(Y2="Compliance Pending","SafeColleges",IF(Y2="Ready for HRIS Setup","HRIS setup",IF(OR(H2&lt;&gt;"Complete",I2&lt;&gt;"Complete",J2&lt;&gt;"Complete"),"Payroll prerequisite","Outstanding checklist items"))))))))</x:f>
        <x:v>Checklist not begun</x:v>
      </x:c>
      <x:c r="AA2" s="7" t="str">
        <x:f t="shared" ref="AA2:AA37" si="4">IF(Y2="Fully Operational","None",IF(Y2="Not Started","Onboarding workflow",IF(Y2="Exception / Payroll Risk","Payroll setup / pay accuracy",IF(Y2="IT Provisioning","Operational readiness",IF(Y2="Ready for IT Notification","IT email/system access",IF(Y2="Compliance Pending","IT email/system access",IF(Y2="Ready for HRIS Setup","HRIS/payroll setup",IF(OR(H2&lt;&gt;"Complete",I2&lt;&gt;"Complete",J2&lt;&gt;"Complete"),"HRIS/payroll setup",IF(R2&lt;&gt;"Complete","IT email/system access","Remaining onboarding work")))))))))</x:f>
        <x:v>Onboarding workflow</x:v>
      </x:c>
      <x:c r="AB2" s="7" t="str">
        <x:f t="shared" ref="AB2:AB37" si="5">IF(Y2="Fully Operational","No action needed",IF(Y2="Not Started","New hire begins required checklist items",IF(Y2="Exception / Payroll Risk","Submit missing tax/direct-deposit information; HR verifies payroll screens",IF(Y2="IT Provisioning","IT completes email/system access",IF(Y2="Ready for IT Notification","HR notifies IT",IF(Y2="Compliance Pending","New hire completes SafeColleges",IF(Y2="Ready for HRIS Setup","HR creates HRIS employee ID and payroll screens",IF(OR(H2&lt;&gt;"Complete",I2&lt;&gt;"Complete",J2&lt;&gt;"Complete"),"New hire submits missing payroll documents","New hire completes outstanding checklist items"))))))))</x:f>
        <x:v>New hire begins required checklist items</x:v>
      </x:c>
      <x:c r="AC2" s="7" t="str">
        <x:f t="shared" ref="AC2:AC37" si="6">IF(Y2="Fully Operational","None",IF(Y2="IT Provisioning","IT",IF(OR(Y2="Ready for IT Notification",Y2="Ready for HRIS Setup"),"HR",IF(Y2="Exception / Payroll Risk","New Hire / HR","New Hire"))))</x:f>
        <x:v>New Hire</x:v>
      </x:c>
      <x:c r="AD2" s="7" t="str">
        <x:f t="shared" ref="AD2:AD37" si="7">IF(Y2="Fully Operational","Complete",IF(E2&lt;0,"Critical",IF(E2&lt;=7,"High",IF(E2&lt;=14,"Medium","Low"))))</x:f>
        <x:v>Low</x:v>
      </x:c>
      <x:c r="AE2" s="7" t="str">
        <x:f t="shared" ref="AE2:AE37" si="8">IF(AND(U2="Created",OR(H2&lt;&gt;"Complete",I2&lt;&gt;"Complete",J2&lt;&gt;"Complete")),"Payroll Risk Exception","")</x:f>
      </x:c>
      <x:c r="AF2" s="7" t="s">
        <x:v>39</x:v>
      </x:c>
      <x:c r="AG2" s="31" t="str">
        <x:v>jordan.lee@example.com</x:v>
      </x:c>
      <x:c r="AH2" s="31" t="str">
        <x:v>Academic Affairs Supervisor</x:v>
      </x:c>
      <x:c r="AI2" s="31" t="str">
        <x:v>academic.affairs.supervisor@example.com</x:v>
      </x:c>
      <x:c r="AJ2" s="31" t="str">
        <x:v>Email</x:v>
      </x:c>
    </x:row>
    <x:row r="3">
      <x:c r="A3" s="7" t="s">
        <x:v>40</x:v>
      </x:c>
      <x:c r="B3" s="7" t="s">
        <x:v>41</x:v>
      </x:c>
      <x:c r="C3" s="7" t="s">
        <x:v>42</x:v>
      </x:c>
      <x:c r="D3" s="9">
        <x:v>46304</x:v>
      </x:c>
      <x:c r="E3" s="7" t="n">
        <x:f>D3-Process_Rules!$B$2</x:f>
        <x:v>22</x:v>
      </x:c>
      <x:c r="F3" s="7" t="s">
        <x:v>35</x:v>
      </x:c>
      <x:c r="G3" s="7" t="s">
        <x:v>36</x:v>
      </x:c>
      <x:c r="H3" s="7" t="s">
        <x:v>36</x:v>
      </x:c>
      <x:c r="I3" s="7" t="s">
        <x:v>36</x:v>
      </x:c>
      <x:c r="J3" s="7" t="s">
        <x:v>36</x:v>
      </x:c>
      <x:c r="K3" s="7" t="s">
        <x:v>36</x:v>
      </x:c>
      <x:c r="L3" s="7" t="s">
        <x:v>36</x:v>
      </x:c>
      <x:c r="M3" s="7" t="s">
        <x:v>36</x:v>
      </x:c>
      <x:c r="N3" s="7" t="s">
        <x:v>36</x:v>
      </x:c>
      <x:c r="O3" s="7" t="s">
        <x:v>36</x:v>
      </x:c>
      <x:c r="P3" s="7" t="s">
        <x:v>36</x:v>
      </x:c>
      <x:c r="Q3" s="7" t="s">
        <x:v>36</x:v>
      </x:c>
      <x:c r="R3" s="7" t="s">
        <x:v>36</x:v>
      </x:c>
      <x:c r="S3" s="10">
        <x:f t="shared" si="0"/>
        <x:v>0</x:v>
      </x:c>
      <x:c r="T3" s="7" t="str">
        <x:f t="shared" si="1"/>
        <x:v>Not Ready</x:v>
      </x:c>
      <x:c r="U3" s="7" t="s">
        <x:v>37</x:v>
      </x:c>
      <x:c r="V3" s="7" t="s">
        <x:v>36</x:v>
      </x:c>
      <x:c r="W3" s="7" t="s">
        <x:v>38</x:v>
      </x:c>
      <x:c r="X3" s="7" t="s">
        <x:v>36</x:v>
      </x:c>
      <x:c r="Y3" s="7" t="str">
        <x:f t="shared" si="2"/>
        <x:v>Not Started</x:v>
      </x:c>
      <x:c r="Z3" s="7" t="str">
        <x:f t="shared" si="3"/>
        <x:v>Checklist not begun</x:v>
      </x:c>
      <x:c r="AA3" s="7" t="str">
        <x:f t="shared" si="4"/>
        <x:v>Onboarding workflow</x:v>
      </x:c>
      <x:c r="AB3" s="7" t="str">
        <x:f t="shared" si="5"/>
        <x:v>New hire begins required checklist items</x:v>
      </x:c>
      <x:c r="AC3" s="7" t="str">
        <x:f t="shared" si="6"/>
        <x:v>New Hire</x:v>
      </x:c>
      <x:c r="AD3" s="7" t="str">
        <x:f t="shared" si="7"/>
        <x:v>Low</x:v>
      </x:c>
      <x:c r="AE3" s="7" t="str">
        <x:f t="shared" si="8"/>
      </x:c>
      <x:c r="AF3" s="7" t="s">
        <x:v>39</x:v>
      </x:c>
      <x:c r="AG3" s="31" t="str">
        <x:v>morgan.davis@example.com</x:v>
      </x:c>
      <x:c r="AH3" s="31" t="str">
        <x:v>Student Services Supervisor</x:v>
      </x:c>
      <x:c r="AI3" s="31" t="str">
        <x:v>student.services.supervisor@example.com</x:v>
      </x:c>
      <x:c r="AJ3" s="31" t="str">
        <x:v>Email</x:v>
      </x:c>
    </x:row>
    <x:row r="4">
      <x:c r="A4" s="7" t="s">
        <x:v>43</x:v>
      </x:c>
      <x:c r="B4" s="7" t="s">
        <x:v>44</x:v>
      </x:c>
      <x:c r="C4" s="7" t="s">
        <x:v>45</x:v>
      </x:c>
      <x:c r="D4" s="9">
        <x:v>46300</x:v>
      </x:c>
      <x:c r="E4" s="7" t="n">
        <x:f>D4-Process_Rules!$B$2</x:f>
        <x:v>18</x:v>
      </x:c>
      <x:c r="F4" s="7" t="s">
        <x:v>35</x:v>
      </x:c>
      <x:c r="G4" s="7" t="s">
        <x:v>36</x:v>
      </x:c>
      <x:c r="H4" s="7" t="s">
        <x:v>36</x:v>
      </x:c>
      <x:c r="I4" s="7" t="s">
        <x:v>36</x:v>
      </x:c>
      <x:c r="J4" s="7" t="s">
        <x:v>36</x:v>
      </x:c>
      <x:c r="K4" s="7" t="s">
        <x:v>36</x:v>
      </x:c>
      <x:c r="L4" s="7" t="s">
        <x:v>36</x:v>
      </x:c>
      <x:c r="M4" s="7" t="s">
        <x:v>36</x:v>
      </x:c>
      <x:c r="N4" s="7" t="s">
        <x:v>36</x:v>
      </x:c>
      <x:c r="O4" s="7" t="s">
        <x:v>36</x:v>
      </x:c>
      <x:c r="P4" s="7" t="s">
        <x:v>36</x:v>
      </x:c>
      <x:c r="Q4" s="7" t="s">
        <x:v>36</x:v>
      </x:c>
      <x:c r="R4" s="7" t="s">
        <x:v>36</x:v>
      </x:c>
      <x:c r="S4" s="10">
        <x:f t="shared" si="0"/>
        <x:v>0</x:v>
      </x:c>
      <x:c r="T4" s="7" t="str">
        <x:f t="shared" si="1"/>
        <x:v>Not Ready</x:v>
      </x:c>
      <x:c r="U4" s="7" t="s">
        <x:v>37</x:v>
      </x:c>
      <x:c r="V4" s="7" t="s">
        <x:v>36</x:v>
      </x:c>
      <x:c r="W4" s="7" t="s">
        <x:v>38</x:v>
      </x:c>
      <x:c r="X4" s="7" t="s">
        <x:v>36</x:v>
      </x:c>
      <x:c r="Y4" s="7" t="str">
        <x:f t="shared" si="2"/>
        <x:v>Not Started</x:v>
      </x:c>
      <x:c r="Z4" s="7" t="str">
        <x:f t="shared" si="3"/>
        <x:v>Checklist not begun</x:v>
      </x:c>
      <x:c r="AA4" s="7" t="str">
        <x:f t="shared" si="4"/>
        <x:v>Onboarding workflow</x:v>
      </x:c>
      <x:c r="AB4" s="7" t="str">
        <x:f t="shared" si="5"/>
        <x:v>New hire begins required checklist items</x:v>
      </x:c>
      <x:c r="AC4" s="7" t="str">
        <x:f t="shared" si="6"/>
        <x:v>New Hire</x:v>
      </x:c>
      <x:c r="AD4" s="7" t="str">
        <x:f t="shared" si="7"/>
        <x:v>Low</x:v>
      </x:c>
      <x:c r="AE4" s="7" t="str">
        <x:f t="shared" si="8"/>
      </x:c>
      <x:c r="AF4" s="7" t="s">
        <x:v>39</x:v>
      </x:c>
      <x:c r="AG4" s="31" t="str">
        <x:v>taylor.smith@example.com</x:v>
      </x:c>
      <x:c r="AH4" s="31" t="str">
        <x:v>Finance Supervisor</x:v>
      </x:c>
      <x:c r="AI4" s="31" t="str">
        <x:v>finance.supervisor@example.com</x:v>
      </x:c>
      <x:c r="AJ4" s="31" t="str">
        <x:v>Email</x:v>
      </x:c>
    </x:row>
    <x:row r="5">
      <x:c r="A5" s="7" t="s">
        <x:v>46</x:v>
      </x:c>
      <x:c r="B5" s="7" t="s">
        <x:v>47</x:v>
      </x:c>
      <x:c r="C5" s="7" t="s">
        <x:v>48</x:v>
      </x:c>
      <x:c r="D5" s="9">
        <x:v>46298</x:v>
      </x:c>
      <x:c r="E5" s="7" t="n">
        <x:f>D5-Process_Rules!$B$2</x:f>
        <x:v>16</x:v>
      </x:c>
      <x:c r="F5" s="7" t="s">
        <x:v>35</x:v>
      </x:c>
      <x:c r="G5" s="7" t="s">
        <x:v>36</x:v>
      </x:c>
      <x:c r="H5" s="7" t="s">
        <x:v>36</x:v>
      </x:c>
      <x:c r="I5" s="7" t="s">
        <x:v>36</x:v>
      </x:c>
      <x:c r="J5" s="7" t="s">
        <x:v>36</x:v>
      </x:c>
      <x:c r="K5" s="7" t="s">
        <x:v>36</x:v>
      </x:c>
      <x:c r="L5" s="7" t="s">
        <x:v>36</x:v>
      </x:c>
      <x:c r="M5" s="7" t="s">
        <x:v>36</x:v>
      </x:c>
      <x:c r="N5" s="7" t="s">
        <x:v>36</x:v>
      </x:c>
      <x:c r="O5" s="7" t="s">
        <x:v>36</x:v>
      </x:c>
      <x:c r="P5" s="7" t="s">
        <x:v>36</x:v>
      </x:c>
      <x:c r="Q5" s="7" t="s">
        <x:v>36</x:v>
      </x:c>
      <x:c r="R5" s="7" t="s">
        <x:v>36</x:v>
      </x:c>
      <x:c r="S5" s="10">
        <x:f t="shared" si="0"/>
        <x:v>0</x:v>
      </x:c>
      <x:c r="T5" s="7" t="str">
        <x:f t="shared" si="1"/>
        <x:v>Not Ready</x:v>
      </x:c>
      <x:c r="U5" s="7" t="s">
        <x:v>37</x:v>
      </x:c>
      <x:c r="V5" s="7" t="s">
        <x:v>36</x:v>
      </x:c>
      <x:c r="W5" s="7" t="s">
        <x:v>38</x:v>
      </x:c>
      <x:c r="X5" s="7" t="s">
        <x:v>36</x:v>
      </x:c>
      <x:c r="Y5" s="7" t="str">
        <x:f t="shared" si="2"/>
        <x:v>Not Started</x:v>
      </x:c>
      <x:c r="Z5" s="7" t="str">
        <x:f t="shared" si="3"/>
        <x:v>Checklist not begun</x:v>
      </x:c>
      <x:c r="AA5" s="7" t="str">
        <x:f t="shared" si="4"/>
        <x:v>Onboarding workflow</x:v>
      </x:c>
      <x:c r="AB5" s="7" t="str">
        <x:f t="shared" si="5"/>
        <x:v>New hire begins required checklist items</x:v>
      </x:c>
      <x:c r="AC5" s="7" t="str">
        <x:f t="shared" si="6"/>
        <x:v>New Hire</x:v>
      </x:c>
      <x:c r="AD5" s="7" t="str">
        <x:f t="shared" si="7"/>
        <x:v>Low</x:v>
      </x:c>
      <x:c r="AE5" s="7" t="str">
        <x:f t="shared" si="8"/>
      </x:c>
      <x:c r="AF5" s="7" t="s">
        <x:v>39</x:v>
      </x:c>
      <x:c r="AG5" s="31" t="str">
        <x:v>casey.nguyen@example.com</x:v>
      </x:c>
      <x:c r="AH5" s="31" t="str">
        <x:v>Facilities Supervisor</x:v>
      </x:c>
      <x:c r="AI5" s="31" t="str">
        <x:v>facilities.supervisor@example.com</x:v>
      </x:c>
      <x:c r="AJ5" s="31" t="str">
        <x:v>Email</x:v>
      </x:c>
    </x:row>
    <x:row r="6">
      <x:c r="A6" s="7" t="s">
        <x:v>49</x:v>
      </x:c>
      <x:c r="B6" s="7" t="s">
        <x:v>50</x:v>
      </x:c>
      <x:c r="C6" s="7" t="s">
        <x:v>51</x:v>
      </x:c>
      <x:c r="D6" s="9">
        <x:v>46296</x:v>
      </x:c>
      <x:c r="E6" s="7" t="n">
        <x:f>D6-Process_Rules!$B$2</x:f>
        <x:v>14</x:v>
      </x:c>
      <x:c r="F6" s="7" t="s">
        <x:v>35</x:v>
      </x:c>
      <x:c r="G6" s="7" t="s">
        <x:v>35</x:v>
      </x:c>
      <x:c r="H6" s="7" t="s">
        <x:v>52</x:v>
      </x:c>
      <x:c r="I6" s="7" t="s">
        <x:v>36</x:v>
      </x:c>
      <x:c r="J6" s="7" t="s">
        <x:v>36</x:v>
      </x:c>
      <x:c r="K6" s="7" t="s">
        <x:v>35</x:v>
      </x:c>
      <x:c r="L6" s="7" t="s">
        <x:v>52</x:v>
      </x:c>
      <x:c r="M6" s="7" t="s">
        <x:v>36</x:v>
      </x:c>
      <x:c r="N6" s="7" t="s">
        <x:v>36</x:v>
      </x:c>
      <x:c r="O6" s="7" t="s">
        <x:v>36</x:v>
      </x:c>
      <x:c r="P6" s="7" t="s">
        <x:v>36</x:v>
      </x:c>
      <x:c r="Q6" s="7" t="s">
        <x:v>36</x:v>
      </x:c>
      <x:c r="R6" s="7" t="s">
        <x:v>36</x:v>
      </x:c>
      <x:c r="S6" s="10">
        <x:f t="shared" si="0"/>
        <x:v>0.18181818181818182</x:v>
      </x:c>
      <x:c r="T6" s="7" t="str">
        <x:f t="shared" si="1"/>
        <x:v>Not Ready</x:v>
      </x:c>
      <x:c r="U6" s="7" t="s">
        <x:v>37</x:v>
      </x:c>
      <x:c r="V6" s="7" t="s">
        <x:v>36</x:v>
      </x:c>
      <x:c r="W6" s="7" t="s">
        <x:v>38</x:v>
      </x:c>
      <x:c r="X6" s="7" t="s">
        <x:v>36</x:v>
      </x:c>
      <x:c r="Y6" s="7" t="str">
        <x:f t="shared" si="2"/>
        <x:v>Checklist In Progress</x:v>
      </x:c>
      <x:c r="Z6" s="7" t="str">
        <x:f t="shared" si="3"/>
        <x:v>Payroll prerequisite</x:v>
      </x:c>
      <x:c r="AA6" s="7" t="str">
        <x:f t="shared" si="4"/>
        <x:v>HRIS/payroll setup</x:v>
      </x:c>
      <x:c r="AB6" s="7" t="str">
        <x:f t="shared" si="5"/>
        <x:v>New hire submits missing payroll documents</x:v>
      </x:c>
      <x:c r="AC6" s="7" t="str">
        <x:f t="shared" si="6"/>
        <x:v>New Hire</x:v>
      </x:c>
      <x:c r="AD6" s="7" t="str">
        <x:f t="shared" si="7"/>
        <x:v>Medium</x:v>
      </x:c>
      <x:c r="AE6" s="7" t="str">
        <x:f t="shared" si="8"/>
      </x:c>
      <x:c r="AF6" s="7" t="s">
        <x:v>53</x:v>
      </x:c>
      <x:c r="AG6" s="31" t="str">
        <x:v>riley.carter@example.com</x:v>
      </x:c>
      <x:c r="AH6" s="31" t="str">
        <x:v>Human Resources Supervisor</x:v>
      </x:c>
      <x:c r="AI6" s="31" t="str">
        <x:v>human.resources.supervisor@example.com</x:v>
      </x:c>
      <x:c r="AJ6" s="31" t="str">
        <x:v>Email</x:v>
      </x:c>
    </x:row>
    <x:row r="7" ht="28.799999237060547">
      <x:c r="A7" s="7" t="s">
        <x:v>54</x:v>
      </x:c>
      <x:c r="B7" s="7" t="s">
        <x:v>55</x:v>
      </x:c>
      <x:c r="C7" s="7" t="s">
        <x:v>56</x:v>
      </x:c>
      <x:c r="D7" s="9">
        <x:v>46294</x:v>
      </x:c>
      <x:c r="E7" s="7" t="n">
        <x:f>D7-Process_Rules!$B$2</x:f>
        <x:v>12</x:v>
      </x:c>
      <x:c r="F7" s="7" t="s">
        <x:v>35</x:v>
      </x:c>
      <x:c r="G7" s="7" t="s">
        <x:v>35</x:v>
      </x:c>
      <x:c r="H7" s="7" t="s">
        <x:v>52</x:v>
      </x:c>
      <x:c r="I7" s="7" t="s">
        <x:v>36</x:v>
      </x:c>
      <x:c r="J7" s="7" t="s">
        <x:v>36</x:v>
      </x:c>
      <x:c r="K7" s="7" t="s">
        <x:v>35</x:v>
      </x:c>
      <x:c r="L7" s="7" t="s">
        <x:v>52</x:v>
      </x:c>
      <x:c r="M7" s="7" t="s">
        <x:v>36</x:v>
      </x:c>
      <x:c r="N7" s="7" t="s">
        <x:v>36</x:v>
      </x:c>
      <x:c r="O7" s="7" t="s">
        <x:v>36</x:v>
      </x:c>
      <x:c r="P7" s="7" t="s">
        <x:v>36</x:v>
      </x:c>
      <x:c r="Q7" s="7" t="s">
        <x:v>36</x:v>
      </x:c>
      <x:c r="R7" s="7" t="s">
        <x:v>52</x:v>
      </x:c>
      <x:c r="S7" s="10">
        <x:f t="shared" si="0"/>
        <x:v>0.18181818181818182</x:v>
      </x:c>
      <x:c r="T7" s="7" t="str">
        <x:f t="shared" si="1"/>
        <x:v>Not Ready</x:v>
      </x:c>
      <x:c r="U7" s="7" t="s">
        <x:v>37</x:v>
      </x:c>
      <x:c r="V7" s="7" t="s">
        <x:v>36</x:v>
      </x:c>
      <x:c r="W7" s="7" t="s">
        <x:v>38</x:v>
      </x:c>
      <x:c r="X7" s="7" t="s">
        <x:v>36</x:v>
      </x:c>
      <x:c r="Y7" s="7" t="str">
        <x:f t="shared" si="2"/>
        <x:v>Checklist In Progress</x:v>
      </x:c>
      <x:c r="Z7" s="7" t="str">
        <x:f t="shared" si="3"/>
        <x:v>Payroll prerequisite</x:v>
      </x:c>
      <x:c r="AA7" s="7" t="str">
        <x:f t="shared" si="4"/>
        <x:v>HRIS/payroll setup</x:v>
      </x:c>
      <x:c r="AB7" s="7" t="str">
        <x:f t="shared" si="5"/>
        <x:v>New hire submits missing payroll documents</x:v>
      </x:c>
      <x:c r="AC7" s="7" t="str">
        <x:f t="shared" si="6"/>
        <x:v>New Hire</x:v>
      </x:c>
      <x:c r="AD7" s="7" t="str">
        <x:f t="shared" si="7"/>
        <x:v>Medium</x:v>
      </x:c>
      <x:c r="AE7" s="7" t="str">
        <x:f t="shared" si="8"/>
      </x:c>
      <x:c r="AF7" s="7" t="s">
        <x:v>53</x:v>
      </x:c>
      <x:c r="AG7" s="31" t="str">
        <x:v>jamie.patel@example.com</x:v>
      </x:c>
      <x:c r="AH7" s="31" t="str">
        <x:v>Information Technology Supervisor</x:v>
      </x:c>
      <x:c r="AI7" s="31" t="str">
        <x:v>information.technology.supervisor@example.com</x:v>
      </x:c>
      <x:c r="AJ7" s="31" t="str">
        <x:v>Email</x:v>
      </x:c>
    </x:row>
    <x:row r="8">
      <x:c r="A8" s="7" t="s">
        <x:v>57</x:v>
      </x:c>
      <x:c r="B8" s="7" t="s">
        <x:v>58</x:v>
      </x:c>
      <x:c r="C8" s="7" t="s">
        <x:v>59</x:v>
      </x:c>
      <x:c r="D8" s="9">
        <x:v>46292</x:v>
      </x:c>
      <x:c r="E8" s="7" t="n">
        <x:f>D8-Process_Rules!$B$2</x:f>
        <x:v>10</x:v>
      </x:c>
      <x:c r="F8" s="7" t="s">
        <x:v>35</x:v>
      </x:c>
      <x:c r="G8" s="7" t="s">
        <x:v>35</x:v>
      </x:c>
      <x:c r="H8" s="7" t="s">
        <x:v>35</x:v>
      </x:c>
      <x:c r="I8" s="7" t="s">
        <x:v>52</x:v>
      </x:c>
      <x:c r="J8" s="7" t="s">
        <x:v>36</x:v>
      </x:c>
      <x:c r="K8" s="7" t="s">
        <x:v>35</x:v>
      </x:c>
      <x:c r="L8" s="7" t="s">
        <x:v>35</x:v>
      </x:c>
      <x:c r="M8" s="7" t="s">
        <x:v>35</x:v>
      </x:c>
      <x:c r="N8" s="7" t="s">
        <x:v>52</x:v>
      </x:c>
      <x:c r="O8" s="7" t="s">
        <x:v>35</x:v>
      </x:c>
      <x:c r="P8" s="7" t="s">
        <x:v>36</x:v>
      </x:c>
      <x:c r="Q8" s="7" t="s">
        <x:v>36</x:v>
      </x:c>
      <x:c r="R8" s="7" t="s">
        <x:v>52</x:v>
      </x:c>
      <x:c r="S8" s="10">
        <x:f t="shared" si="0"/>
        <x:v>0.54545454545454541</x:v>
      </x:c>
      <x:c r="T8" s="7" t="str">
        <x:f t="shared" si="1"/>
        <x:v>Not Ready</x:v>
      </x:c>
      <x:c r="U8" s="7" t="s">
        <x:v>37</x:v>
      </x:c>
      <x:c r="V8" s="7" t="s">
        <x:v>36</x:v>
      </x:c>
      <x:c r="W8" s="7" t="s">
        <x:v>38</x:v>
      </x:c>
      <x:c r="X8" s="7" t="s">
        <x:v>36</x:v>
      </x:c>
      <x:c r="Y8" s="7" t="str">
        <x:f t="shared" si="2"/>
        <x:v>Checklist In Progress</x:v>
      </x:c>
      <x:c r="Z8" s="7" t="str">
        <x:f t="shared" si="3"/>
        <x:v>Payroll prerequisite</x:v>
      </x:c>
      <x:c r="AA8" s="7" t="str">
        <x:f t="shared" si="4"/>
        <x:v>HRIS/payroll setup</x:v>
      </x:c>
      <x:c r="AB8" s="7" t="str">
        <x:f t="shared" si="5"/>
        <x:v>New hire submits missing payroll documents</x:v>
      </x:c>
      <x:c r="AC8" s="7" t="str">
        <x:f t="shared" si="6"/>
        <x:v>New Hire</x:v>
      </x:c>
      <x:c r="AD8" s="7" t="str">
        <x:f t="shared" si="7"/>
        <x:v>Medium</x:v>
      </x:c>
      <x:c r="AE8" s="7" t="str">
        <x:f t="shared" si="8"/>
      </x:c>
      <x:c r="AF8" s="7" t="s">
        <x:v>53</x:v>
      </x:c>
      <x:c r="AG8" s="31" t="str">
        <x:v>alex.johnson@example.com</x:v>
      </x:c>
      <x:c r="AH8" s="31" t="str">
        <x:v>Enrollment Services Supervisor</x:v>
      </x:c>
      <x:c r="AI8" s="31" t="str">
        <x:v>enrollment.services.supervisor@example.com</x:v>
      </x:c>
      <x:c r="AJ8" s="31" t="str">
        <x:v>Email</x:v>
      </x:c>
    </x:row>
    <x:row r="9">
      <x:c r="A9" s="7" t="s">
        <x:v>60</x:v>
      </x:c>
      <x:c r="B9" s="7" t="s">
        <x:v>61</x:v>
      </x:c>
      <x:c r="C9" s="7" t="s">
        <x:v>62</x:v>
      </x:c>
      <x:c r="D9" s="9">
        <x:v>46290</x:v>
      </x:c>
      <x:c r="E9" s="7" t="n">
        <x:f>D9-Process_Rules!$B$2</x:f>
        <x:v>8</x:v>
      </x:c>
      <x:c r="F9" s="7" t="s">
        <x:v>35</x:v>
      </x:c>
      <x:c r="G9" s="7" t="s">
        <x:v>35</x:v>
      </x:c>
      <x:c r="H9" s="7" t="s">
        <x:v>35</x:v>
      </x:c>
      <x:c r="I9" s="7" t="s">
        <x:v>52</x:v>
      </x:c>
      <x:c r="J9" s="7" t="s">
        <x:v>36</x:v>
      </x:c>
      <x:c r="K9" s="7" t="s">
        <x:v>35</x:v>
      </x:c>
      <x:c r="L9" s="7" t="s">
        <x:v>35</x:v>
      </x:c>
      <x:c r="M9" s="7" t="s">
        <x:v>35</x:v>
      </x:c>
      <x:c r="N9" s="7" t="s">
        <x:v>52</x:v>
      </x:c>
      <x:c r="O9" s="7" t="s">
        <x:v>35</x:v>
      </x:c>
      <x:c r="P9" s="7" t="s">
        <x:v>36</x:v>
      </x:c>
      <x:c r="Q9" s="7" t="s">
        <x:v>36</x:v>
      </x:c>
      <x:c r="R9" s="7" t="s">
        <x:v>36</x:v>
      </x:c>
      <x:c r="S9" s="10">
        <x:f t="shared" si="0"/>
        <x:v>0.54545454545454541</x:v>
      </x:c>
      <x:c r="T9" s="7" t="str">
        <x:f t="shared" si="1"/>
        <x:v>Not Ready</x:v>
      </x:c>
      <x:c r="U9" s="7" t="s">
        <x:v>37</x:v>
      </x:c>
      <x:c r="V9" s="7" t="s">
        <x:v>36</x:v>
      </x:c>
      <x:c r="W9" s="7" t="s">
        <x:v>38</x:v>
      </x:c>
      <x:c r="X9" s="7" t="s">
        <x:v>36</x:v>
      </x:c>
      <x:c r="Y9" s="7" t="str">
        <x:f t="shared" si="2"/>
        <x:v>Checklist In Progress</x:v>
      </x:c>
      <x:c r="Z9" s="7" t="str">
        <x:f t="shared" si="3"/>
        <x:v>Payroll prerequisite</x:v>
      </x:c>
      <x:c r="AA9" s="7" t="str">
        <x:f t="shared" si="4"/>
        <x:v>HRIS/payroll setup</x:v>
      </x:c>
      <x:c r="AB9" s="7" t="str">
        <x:f t="shared" si="5"/>
        <x:v>New hire submits missing payroll documents</x:v>
      </x:c>
      <x:c r="AC9" s="7" t="str">
        <x:f t="shared" si="6"/>
        <x:v>New Hire</x:v>
      </x:c>
      <x:c r="AD9" s="7" t="str">
        <x:f t="shared" si="7"/>
        <x:v>Medium</x:v>
      </x:c>
      <x:c r="AE9" s="7" t="str">
        <x:f t="shared" si="8"/>
      </x:c>
      <x:c r="AF9" s="7" t="s">
        <x:v>53</x:v>
      </x:c>
      <x:c r="AG9" s="31" t="str">
        <x:v>sam.wilson@example.com</x:v>
      </x:c>
      <x:c r="AH9" s="31" t="str">
        <x:v>Business Services Supervisor</x:v>
      </x:c>
      <x:c r="AI9" s="31" t="str">
        <x:v>business.services.supervisor@example.com</x:v>
      </x:c>
      <x:c r="AJ9" s="31" t="str">
        <x:v>Email</x:v>
      </x:c>
    </x:row>
    <x:row r="10">
      <x:c r="A10" s="7" t="s">
        <x:v>63</x:v>
      </x:c>
      <x:c r="B10" s="7" t="s">
        <x:v>64</x:v>
      </x:c>
      <x:c r="C10" s="7" t="s">
        <x:v>65</x:v>
      </x:c>
      <x:c r="D10" s="9">
        <x:v>46288</x:v>
      </x:c>
      <x:c r="E10" s="7" t="n">
        <x:f>D10-Process_Rules!$B$2</x:f>
        <x:v>6</x:v>
      </x:c>
      <x:c r="F10" s="7" t="s">
        <x:v>35</x:v>
      </x:c>
      <x:c r="G10" s="7" t="s">
        <x:v>35</x:v>
      </x:c>
      <x:c r="H10" s="7" t="s">
        <x:v>35</x:v>
      </x:c>
      <x:c r="I10" s="7" t="s">
        <x:v>52</x:v>
      </x:c>
      <x:c r="J10" s="7" t="s">
        <x:v>36</x:v>
      </x:c>
      <x:c r="K10" s="7" t="s">
        <x:v>35</x:v>
      </x:c>
      <x:c r="L10" s="7" t="s">
        <x:v>35</x:v>
      </x:c>
      <x:c r="M10" s="7" t="s">
        <x:v>35</x:v>
      </x:c>
      <x:c r="N10" s="7" t="s">
        <x:v>52</x:v>
      </x:c>
      <x:c r="O10" s="7" t="s">
        <x:v>35</x:v>
      </x:c>
      <x:c r="P10" s="7" t="s">
        <x:v>36</x:v>
      </x:c>
      <x:c r="Q10" s="7" t="s">
        <x:v>36</x:v>
      </x:c>
      <x:c r="R10" s="7" t="s">
        <x:v>52</x:v>
      </x:c>
      <x:c r="S10" s="10">
        <x:f t="shared" si="0"/>
        <x:v>0.54545454545454541</x:v>
      </x:c>
      <x:c r="T10" s="7" t="str">
        <x:f t="shared" si="1"/>
        <x:v>Not Ready</x:v>
      </x:c>
      <x:c r="U10" s="7" t="s">
        <x:v>37</x:v>
      </x:c>
      <x:c r="V10" s="7" t="s">
        <x:v>36</x:v>
      </x:c>
      <x:c r="W10" s="7" t="s">
        <x:v>38</x:v>
      </x:c>
      <x:c r="X10" s="7" t="s">
        <x:v>36</x:v>
      </x:c>
      <x:c r="Y10" s="7" t="str">
        <x:f t="shared" si="2"/>
        <x:v>Checklist In Progress</x:v>
      </x:c>
      <x:c r="Z10" s="7" t="str">
        <x:f t="shared" si="3"/>
        <x:v>Payroll prerequisite</x:v>
      </x:c>
      <x:c r="AA10" s="7" t="str">
        <x:f t="shared" si="4"/>
        <x:v>HRIS/payroll setup</x:v>
      </x:c>
      <x:c r="AB10" s="7" t="str">
        <x:f t="shared" si="5"/>
        <x:v>New hire submits missing payroll documents</x:v>
      </x:c>
      <x:c r="AC10" s="7" t="str">
        <x:f t="shared" si="6"/>
        <x:v>New Hire</x:v>
      </x:c>
      <x:c r="AD10" s="7" t="str">
        <x:f t="shared" si="7"/>
        <x:v>High</x:v>
      </x:c>
      <x:c r="AE10" s="7" t="str">
        <x:f t="shared" si="8"/>
      </x:c>
      <x:c r="AF10" s="7" t="s">
        <x:v>53</x:v>
      </x:c>
      <x:c r="AG10" s="31" t="str">
        <x:v>avery.brooks@example.com</x:v>
      </x:c>
      <x:c r="AH10" s="31" t="str">
        <x:v>Continuing Education Supervisor</x:v>
      </x:c>
      <x:c r="AI10" s="31" t="str">
        <x:v>continuing.education.supervisor@example.com</x:v>
      </x:c>
      <x:c r="AJ10" s="31" t="str">
        <x:v>Email</x:v>
      </x:c>
    </x:row>
    <x:row r="11">
      <x:c r="A11" s="7" t="s">
        <x:v>66</x:v>
      </x:c>
      <x:c r="B11" s="7" t="s">
        <x:v>67</x:v>
      </x:c>
      <x:c r="C11" s="7" t="s">
        <x:v>68</x:v>
      </x:c>
      <x:c r="D11" s="9">
        <x:v>46286</x:v>
      </x:c>
      <x:c r="E11" s="7" t="n">
        <x:f>D11-Process_Rules!$B$2</x:f>
        <x:v>4</x:v>
      </x:c>
      <x:c r="F11" s="7" t="s">
        <x:v>35</x:v>
      </x:c>
      <x:c r="G11" s="7" t="s">
        <x:v>35</x:v>
      </x:c>
      <x:c r="H11" s="7" t="s">
        <x:v>52</x:v>
      </x:c>
      <x:c r="I11" s="7" t="s">
        <x:v>36</x:v>
      </x:c>
      <x:c r="J11" s="7" t="s">
        <x:v>36</x:v>
      </x:c>
      <x:c r="K11" s="7" t="s">
        <x:v>35</x:v>
      </x:c>
      <x:c r="L11" s="7" t="s">
        <x:v>52</x:v>
      </x:c>
      <x:c r="M11" s="7" t="s">
        <x:v>36</x:v>
      </x:c>
      <x:c r="N11" s="7" t="s">
        <x:v>36</x:v>
      </x:c>
      <x:c r="O11" s="7" t="s">
        <x:v>36</x:v>
      </x:c>
      <x:c r="P11" s="7" t="s">
        <x:v>36</x:v>
      </x:c>
      <x:c r="Q11" s="7" t="s">
        <x:v>36</x:v>
      </x:c>
      <x:c r="R11" s="7" t="s">
        <x:v>52</x:v>
      </x:c>
      <x:c r="S11" s="10">
        <x:f t="shared" si="0"/>
        <x:v>0.18181818181818182</x:v>
      </x:c>
      <x:c r="T11" s="7" t="str">
        <x:f t="shared" si="1"/>
        <x:v>Not Ready</x:v>
      </x:c>
      <x:c r="U11" s="7" t="s">
        <x:v>37</x:v>
      </x:c>
      <x:c r="V11" s="7" t="s">
        <x:v>36</x:v>
      </x:c>
      <x:c r="W11" s="7" t="s">
        <x:v>38</x:v>
      </x:c>
      <x:c r="X11" s="7" t="s">
        <x:v>36</x:v>
      </x:c>
      <x:c r="Y11" s="7" t="str">
        <x:f t="shared" si="2"/>
        <x:v>Checklist In Progress</x:v>
      </x:c>
      <x:c r="Z11" s="7" t="str">
        <x:f t="shared" si="3"/>
        <x:v>Payroll prerequisite</x:v>
      </x:c>
      <x:c r="AA11" s="7" t="str">
        <x:f t="shared" si="4"/>
        <x:v>HRIS/payroll setup</x:v>
      </x:c>
      <x:c r="AB11" s="7" t="str">
        <x:f t="shared" si="5"/>
        <x:v>New hire submits missing payroll documents</x:v>
      </x:c>
      <x:c r="AC11" s="7" t="str">
        <x:f t="shared" si="6"/>
        <x:v>New Hire</x:v>
      </x:c>
      <x:c r="AD11" s="7" t="str">
        <x:f t="shared" si="7"/>
        <x:v>High</x:v>
      </x:c>
      <x:c r="AE11" s="7" t="str">
        <x:f t="shared" si="8"/>
      </x:c>
      <x:c r="AF11" s="7" t="s">
        <x:v>53</x:v>
      </x:c>
      <x:c r="AG11" s="31" t="str">
        <x:v>cameron.reed@example.com</x:v>
      </x:c>
      <x:c r="AH11" s="31" t="str">
        <x:v>Library Supervisor</x:v>
      </x:c>
      <x:c r="AI11" s="31" t="str">
        <x:v>library.supervisor@example.com</x:v>
      </x:c>
      <x:c r="AJ11" s="31" t="str">
        <x:v>Email</x:v>
      </x:c>
    </x:row>
    <x:row r="12">
      <x:c r="A12" s="7" t="s">
        <x:v>69</x:v>
      </x:c>
      <x:c r="B12" s="7" t="s">
        <x:v>70</x:v>
      </x:c>
      <x:c r="C12" s="7" t="s">
        <x:v>71</x:v>
      </x:c>
      <x:c r="D12" s="9">
        <x:v>46294</x:v>
      </x:c>
      <x:c r="E12" s="7" t="n">
        <x:f>D12-Process_Rules!$B$2</x:f>
        <x:v>12</x:v>
      </x:c>
      <x:c r="F12" s="7" t="s">
        <x:v>35</x:v>
      </x:c>
      <x:c r="G12" s="7" t="s">
        <x:v>35</x:v>
      </x:c>
      <x:c r="H12" s="7" t="s">
        <x:v>72</x:v>
      </x:c>
      <x:c r="I12" s="7" t="s">
        <x:v>72</x:v>
      </x:c>
      <x:c r="J12" s="7" t="s">
        <x:v>72</x:v>
      </x:c>
      <x:c r="K12" s="7" t="s">
        <x:v>35</x:v>
      </x:c>
      <x:c r="L12" s="7" t="s">
        <x:v>35</x:v>
      </x:c>
      <x:c r="M12" s="7" t="s">
        <x:v>35</x:v>
      </x:c>
      <x:c r="N12" s="7" t="s">
        <x:v>35</x:v>
      </x:c>
      <x:c r="O12" s="7" t="s">
        <x:v>35</x:v>
      </x:c>
      <x:c r="P12" s="7" t="s">
        <x:v>35</x:v>
      </x:c>
      <x:c r="Q12" s="7" t="s">
        <x:v>35</x:v>
      </x:c>
      <x:c r="R12" s="7" t="s">
        <x:v>35</x:v>
      </x:c>
      <x:c r="S12" s="10">
        <x:f t="shared" si="0"/>
        <x:v>0.72727272727272729</x:v>
      </x:c>
      <x:c r="T12" s="7" t="str">
        <x:f t="shared" si="1"/>
        <x:v>Not Ready</x:v>
      </x:c>
      <x:c r="U12" s="7" t="s">
        <x:v>37</x:v>
      </x:c>
      <x:c r="V12" s="7" t="s">
        <x:v>36</x:v>
      </x:c>
      <x:c r="W12" s="7" t="s">
        <x:v>38</x:v>
      </x:c>
      <x:c r="X12" s="7" t="s">
        <x:v>73</x:v>
      </x:c>
      <x:c r="Y12" s="7" t="str">
        <x:f t="shared" si="2"/>
        <x:v>Checklist In Progress</x:v>
      </x:c>
      <x:c r="Z12" s="7" t="str">
        <x:f t="shared" si="3"/>
        <x:v>Payroll prerequisite</x:v>
      </x:c>
      <x:c r="AA12" s="7" t="str">
        <x:f t="shared" si="4"/>
        <x:v>HRIS/payroll setup</x:v>
      </x:c>
      <x:c r="AB12" s="7" t="str">
        <x:f t="shared" si="5"/>
        <x:v>New hire submits missing payroll documents</x:v>
      </x:c>
      <x:c r="AC12" s="7" t="str">
        <x:f t="shared" si="6"/>
        <x:v>New Hire</x:v>
      </x:c>
      <x:c r="AD12" s="7" t="str">
        <x:f t="shared" si="7"/>
        <x:v>Medium</x:v>
      </x:c>
      <x:c r="AE12" s="7" t="str">
        <x:f t="shared" si="8"/>
      </x:c>
      <x:c r="AF12" s="7" t="s">
        <x:v>74</x:v>
      </x:c>
      <x:c r="AG12" s="31" t="str">
        <x:v>drew.martinez@example.com</x:v>
      </x:c>
      <x:c r="AH12" s="31" t="str">
        <x:v>Marketing Supervisor</x:v>
      </x:c>
      <x:c r="AI12" s="31" t="str">
        <x:v>marketing.supervisor@example.com</x:v>
      </x:c>
      <x:c r="AJ12" s="31" t="str">
        <x:v>Email</x:v>
      </x:c>
    </x:row>
    <x:row r="13">
      <x:c r="A13" s="7" t="s">
        <x:v>75</x:v>
      </x:c>
      <x:c r="B13" s="7" t="s">
        <x:v>76</x:v>
      </x:c>
      <x:c r="C13" s="7" t="s">
        <x:v>77</x:v>
      </x:c>
      <x:c r="D13" s="9">
        <x:v>46291</x:v>
      </x:c>
      <x:c r="E13" s="7" t="n">
        <x:f>D13-Process_Rules!$B$2</x:f>
        <x:v>9</x:v>
      </x:c>
      <x:c r="F13" s="7" t="s">
        <x:v>35</x:v>
      </x:c>
      <x:c r="G13" s="7" t="s">
        <x:v>35</x:v>
      </x:c>
      <x:c r="H13" s="7" t="s">
        <x:v>72</x:v>
      </x:c>
      <x:c r="I13" s="7" t="s">
        <x:v>72</x:v>
      </x:c>
      <x:c r="J13" s="7" t="s">
        <x:v>72</x:v>
      </x:c>
      <x:c r="K13" s="7" t="s">
        <x:v>35</x:v>
      </x:c>
      <x:c r="L13" s="7" t="s">
        <x:v>35</x:v>
      </x:c>
      <x:c r="M13" s="7" t="s">
        <x:v>35</x:v>
      </x:c>
      <x:c r="N13" s="7" t="s">
        <x:v>35</x:v>
      </x:c>
      <x:c r="O13" s="7" t="s">
        <x:v>35</x:v>
      </x:c>
      <x:c r="P13" s="7" t="s">
        <x:v>35</x:v>
      </x:c>
      <x:c r="Q13" s="7" t="s">
        <x:v>35</x:v>
      </x:c>
      <x:c r="R13" s="7" t="s">
        <x:v>52</x:v>
      </x:c>
      <x:c r="S13" s="10">
        <x:f t="shared" si="0"/>
        <x:v>0.72727272727272729</x:v>
      </x:c>
      <x:c r="T13" s="7" t="str">
        <x:f t="shared" si="1"/>
        <x:v>Not Ready</x:v>
      </x:c>
      <x:c r="U13" s="7" t="s">
        <x:v>37</x:v>
      </x:c>
      <x:c r="V13" s="7" t="s">
        <x:v>36</x:v>
      </x:c>
      <x:c r="W13" s="7" t="s">
        <x:v>38</x:v>
      </x:c>
      <x:c r="X13" s="7" t="s">
        <x:v>73</x:v>
      </x:c>
      <x:c r="Y13" s="7" t="str">
        <x:f t="shared" si="2"/>
        <x:v>Checklist In Progress</x:v>
      </x:c>
      <x:c r="Z13" s="7" t="str">
        <x:f t="shared" si="3"/>
        <x:v>Payroll prerequisite</x:v>
      </x:c>
      <x:c r="AA13" s="7" t="str">
        <x:f t="shared" si="4"/>
        <x:v>HRIS/payroll setup</x:v>
      </x:c>
      <x:c r="AB13" s="7" t="str">
        <x:f t="shared" si="5"/>
        <x:v>New hire submits missing payroll documents</x:v>
      </x:c>
      <x:c r="AC13" s="7" t="str">
        <x:f t="shared" si="6"/>
        <x:v>New Hire</x:v>
      </x:c>
      <x:c r="AD13" s="7" t="str">
        <x:f t="shared" si="7"/>
        <x:v>Medium</x:v>
      </x:c>
      <x:c r="AE13" s="7" t="str">
        <x:f t="shared" si="8"/>
      </x:c>
      <x:c r="AF13" s="7" t="s">
        <x:v>74</x:v>
      </x:c>
      <x:c r="AG13" s="31" t="str">
        <x:v>quinn.parker@example.com</x:v>
      </x:c>
      <x:c r="AH13" s="31" t="str">
        <x:v>Allied Health Supervisor</x:v>
      </x:c>
      <x:c r="AI13" s="31" t="str">
        <x:v>allied.health.supervisor@example.com</x:v>
      </x:c>
      <x:c r="AJ13" s="31" t="str">
        <x:v>Email</x:v>
      </x:c>
    </x:row>
    <x:row r="14">
      <x:c r="A14" s="7" t="s">
        <x:v>78</x:v>
      </x:c>
      <x:c r="B14" s="7" t="s">
        <x:v>79</x:v>
      </x:c>
      <x:c r="C14" s="7" t="s">
        <x:v>80</x:v>
      </x:c>
      <x:c r="D14" s="9">
        <x:v>46289</x:v>
      </x:c>
      <x:c r="E14" s="7" t="n">
        <x:f>D14-Process_Rules!$B$2</x:f>
        <x:v>7</x:v>
      </x:c>
      <x:c r="F14" s="7" t="s">
        <x:v>35</x:v>
      </x:c>
      <x:c r="G14" s="7" t="s">
        <x:v>35</x:v>
      </x:c>
      <x:c r="H14" s="7" t="s">
        <x:v>72</x:v>
      </x:c>
      <x:c r="I14" s="7" t="s">
        <x:v>72</x:v>
      </x:c>
      <x:c r="J14" s="7" t="s">
        <x:v>72</x:v>
      </x:c>
      <x:c r="K14" s="7" t="s">
        <x:v>35</x:v>
      </x:c>
      <x:c r="L14" s="7" t="s">
        <x:v>35</x:v>
      </x:c>
      <x:c r="M14" s="7" t="s">
        <x:v>35</x:v>
      </x:c>
      <x:c r="N14" s="7" t="s">
        <x:v>35</x:v>
      </x:c>
      <x:c r="O14" s="7" t="s">
        <x:v>35</x:v>
      </x:c>
      <x:c r="P14" s="7" t="s">
        <x:v>35</x:v>
      </x:c>
      <x:c r="Q14" s="7" t="s">
        <x:v>35</x:v>
      </x:c>
      <x:c r="R14" s="7" t="s">
        <x:v>35</x:v>
      </x:c>
      <x:c r="S14" s="10">
        <x:f t="shared" si="0"/>
        <x:v>0.72727272727272729</x:v>
      </x:c>
      <x:c r="T14" s="7" t="str">
        <x:f t="shared" si="1"/>
        <x:v>Not Ready</x:v>
      </x:c>
      <x:c r="U14" s="7" t="s">
        <x:v>37</x:v>
      </x:c>
      <x:c r="V14" s="7" t="s">
        <x:v>36</x:v>
      </x:c>
      <x:c r="W14" s="7" t="s">
        <x:v>38</x:v>
      </x:c>
      <x:c r="X14" s="7" t="s">
        <x:v>73</x:v>
      </x:c>
      <x:c r="Y14" s="7" t="str">
        <x:f t="shared" si="2"/>
        <x:v>Checklist In Progress</x:v>
      </x:c>
      <x:c r="Z14" s="7" t="str">
        <x:f t="shared" si="3"/>
        <x:v>Payroll prerequisite</x:v>
      </x:c>
      <x:c r="AA14" s="7" t="str">
        <x:f t="shared" si="4"/>
        <x:v>HRIS/payroll setup</x:v>
      </x:c>
      <x:c r="AB14" s="7" t="str">
        <x:f t="shared" si="5"/>
        <x:v>New hire submits missing payroll documents</x:v>
      </x:c>
      <x:c r="AC14" s="7" t="str">
        <x:f t="shared" si="6"/>
        <x:v>New Hire</x:v>
      </x:c>
      <x:c r="AD14" s="7" t="str">
        <x:f t="shared" si="7"/>
        <x:v>High</x:v>
      </x:c>
      <x:c r="AE14" s="7" t="str">
        <x:f t="shared" si="8"/>
      </x:c>
      <x:c r="AF14" s="7" t="s">
        <x:v>74</x:v>
      </x:c>
      <x:c r="AG14" s="31" t="str">
        <x:v>emerson.clark@example.com</x:v>
      </x:c>
      <x:c r="AH14" s="31" t="str">
        <x:v>Nursing Supervisor</x:v>
      </x:c>
      <x:c r="AI14" s="31" t="str">
        <x:v>nursing.supervisor@example.com</x:v>
      </x:c>
      <x:c r="AJ14" s="31" t="str">
        <x:v>Email</x:v>
      </x:c>
    </x:row>
    <x:row r="15">
      <x:c r="A15" s="7" t="s">
        <x:v>81</x:v>
      </x:c>
      <x:c r="B15" s="7" t="s">
        <x:v>82</x:v>
      </x:c>
      <x:c r="C15" s="7" t="s">
        <x:v>83</x:v>
      </x:c>
      <x:c r="D15" s="9">
        <x:v>46287</x:v>
      </x:c>
      <x:c r="E15" s="7" t="n">
        <x:f>D15-Process_Rules!$B$2</x:f>
        <x:v>5</x:v>
      </x:c>
      <x:c r="F15" s="7" t="s">
        <x:v>35</x:v>
      </x:c>
      <x:c r="G15" s="7" t="s">
        <x:v>35</x:v>
      </x:c>
      <x:c r="H15" s="7" t="s">
        <x:v>72</x:v>
      </x:c>
      <x:c r="I15" s="7" t="s">
        <x:v>72</x:v>
      </x:c>
      <x:c r="J15" s="7" t="s">
        <x:v>72</x:v>
      </x:c>
      <x:c r="K15" s="7" t="s">
        <x:v>35</x:v>
      </x:c>
      <x:c r="L15" s="7" t="s">
        <x:v>35</x:v>
      </x:c>
      <x:c r="M15" s="7" t="s">
        <x:v>35</x:v>
      </x:c>
      <x:c r="N15" s="7" t="s">
        <x:v>35</x:v>
      </x:c>
      <x:c r="O15" s="7" t="s">
        <x:v>35</x:v>
      </x:c>
      <x:c r="P15" s="7" t="s">
        <x:v>35</x:v>
      </x:c>
      <x:c r="Q15" s="7" t="s">
        <x:v>35</x:v>
      </x:c>
      <x:c r="R15" s="7" t="s">
        <x:v>35</x:v>
      </x:c>
      <x:c r="S15" s="10">
        <x:f t="shared" si="0"/>
        <x:v>0.72727272727272729</x:v>
      </x:c>
      <x:c r="T15" s="7" t="str">
        <x:f t="shared" si="1"/>
        <x:v>Not Ready</x:v>
      </x:c>
      <x:c r="U15" s="7" t="s">
        <x:v>37</x:v>
      </x:c>
      <x:c r="V15" s="7" t="s">
        <x:v>36</x:v>
      </x:c>
      <x:c r="W15" s="7" t="s">
        <x:v>38</x:v>
      </x:c>
      <x:c r="X15" s="7" t="s">
        <x:v>73</x:v>
      </x:c>
      <x:c r="Y15" s="7" t="str">
        <x:f t="shared" si="2"/>
        <x:v>Checklist In Progress</x:v>
      </x:c>
      <x:c r="Z15" s="7" t="str">
        <x:f t="shared" si="3"/>
        <x:v>Payroll prerequisite</x:v>
      </x:c>
      <x:c r="AA15" s="7" t="str">
        <x:f t="shared" si="4"/>
        <x:v>HRIS/payroll setup</x:v>
      </x:c>
      <x:c r="AB15" s="7" t="str">
        <x:f t="shared" si="5"/>
        <x:v>New hire submits missing payroll documents</x:v>
      </x:c>
      <x:c r="AC15" s="7" t="str">
        <x:f t="shared" si="6"/>
        <x:v>New Hire</x:v>
      </x:c>
      <x:c r="AD15" s="7" t="str">
        <x:f t="shared" si="7"/>
        <x:v>High</x:v>
      </x:c>
      <x:c r="AE15" s="7" t="str">
        <x:f t="shared" si="8"/>
      </x:c>
      <x:c r="AF15" s="7" t="s">
        <x:v>74</x:v>
      </x:c>
      <x:c r="AG15" s="31" t="str">
        <x:v>hayden.ross@example.com</x:v>
      </x:c>
      <x:c r="AH15" s="31" t="str">
        <x:v>Arts &amp; Sciences Supervisor</x:v>
      </x:c>
      <x:c r="AI15" s="31" t="str">
        <x:v>arts.sciences.supervisor@example.com</x:v>
      </x:c>
      <x:c r="AJ15" s="31" t="str">
        <x:v>Email</x:v>
      </x:c>
    </x:row>
    <x:row r="16">
      <x:c r="A16" s="7" t="s">
        <x:v>84</x:v>
      </x:c>
      <x:c r="B16" s="7" t="s">
        <x:v>85</x:v>
      </x:c>
      <x:c r="C16" s="7" t="s">
        <x:v>86</x:v>
      </x:c>
      <x:c r="D16" s="9">
        <x:v>46285</x:v>
      </x:c>
      <x:c r="E16" s="7" t="n">
        <x:f>D16-Process_Rules!$B$2</x:f>
        <x:v>3</x:v>
      </x:c>
      <x:c r="F16" s="7" t="s">
        <x:v>35</x:v>
      </x:c>
      <x:c r="G16" s="7" t="s">
        <x:v>35</x:v>
      </x:c>
      <x:c r="H16" s="7" t="s">
        <x:v>72</x:v>
      </x:c>
      <x:c r="I16" s="7" t="s">
        <x:v>72</x:v>
      </x:c>
      <x:c r="J16" s="7" t="s">
        <x:v>72</x:v>
      </x:c>
      <x:c r="K16" s="7" t="s">
        <x:v>35</x:v>
      </x:c>
      <x:c r="L16" s="7" t="s">
        <x:v>35</x:v>
      </x:c>
      <x:c r="M16" s="7" t="s">
        <x:v>35</x:v>
      </x:c>
      <x:c r="N16" s="7" t="s">
        <x:v>35</x:v>
      </x:c>
      <x:c r="O16" s="7" t="s">
        <x:v>35</x:v>
      </x:c>
      <x:c r="P16" s="7" t="s">
        <x:v>35</x:v>
      </x:c>
      <x:c r="Q16" s="7" t="s">
        <x:v>35</x:v>
      </x:c>
      <x:c r="R16" s="7" t="s">
        <x:v>52</x:v>
      </x:c>
      <x:c r="S16" s="10">
        <x:f t="shared" si="0"/>
        <x:v>0.72727272727272729</x:v>
      </x:c>
      <x:c r="T16" s="7" t="str">
        <x:f t="shared" si="1"/>
        <x:v>Not Ready</x:v>
      </x:c>
      <x:c r="U16" s="7" t="s">
        <x:v>37</x:v>
      </x:c>
      <x:c r="V16" s="7" t="s">
        <x:v>36</x:v>
      </x:c>
      <x:c r="W16" s="7" t="s">
        <x:v>38</x:v>
      </x:c>
      <x:c r="X16" s="7" t="s">
        <x:v>73</x:v>
      </x:c>
      <x:c r="Y16" s="7" t="str">
        <x:f t="shared" si="2"/>
        <x:v>Checklist In Progress</x:v>
      </x:c>
      <x:c r="Z16" s="7" t="str">
        <x:f t="shared" si="3"/>
        <x:v>Payroll prerequisite</x:v>
      </x:c>
      <x:c r="AA16" s="7" t="str">
        <x:f t="shared" si="4"/>
        <x:v>HRIS/payroll setup</x:v>
      </x:c>
      <x:c r="AB16" s="7" t="str">
        <x:f t="shared" si="5"/>
        <x:v>New hire submits missing payroll documents</x:v>
      </x:c>
      <x:c r="AC16" s="7" t="str">
        <x:f t="shared" si="6"/>
        <x:v>New Hire</x:v>
      </x:c>
      <x:c r="AD16" s="7" t="str">
        <x:f t="shared" si="7"/>
        <x:v>High</x:v>
      </x:c>
      <x:c r="AE16" s="7" t="str">
        <x:f t="shared" si="8"/>
      </x:c>
      <x:c r="AF16" s="7" t="s">
        <x:v>74</x:v>
      </x:c>
      <x:c r="AG16" s="31" t="str">
        <x:v>peyton.bailey@example.com</x:v>
      </x:c>
      <x:c r="AH16" s="31" t="str">
        <x:v>Public Safety Supervisor</x:v>
      </x:c>
      <x:c r="AI16" s="31" t="str">
        <x:v>public.safety.supervisor@example.com</x:v>
      </x:c>
      <x:c r="AJ16" s="31" t="str">
        <x:v>Email</x:v>
      </x:c>
    </x:row>
    <x:row r="17">
      <x:c r="A17" s="7" t="s">
        <x:v>87</x:v>
      </x:c>
      <x:c r="B17" s="7" t="s">
        <x:v>88</x:v>
      </x:c>
      <x:c r="C17" s="7" t="s">
        <x:v>89</x:v>
      </x:c>
      <x:c r="D17" s="9">
        <x:v>46293</x:v>
      </x:c>
      <x:c r="E17" s="7" t="n">
        <x:f>D17-Process_Rules!$B$2</x:f>
        <x:v>11</x:v>
      </x:c>
      <x:c r="F17" s="7" t="s">
        <x:v>35</x:v>
      </x:c>
      <x:c r="G17" s="7" t="s">
        <x:v>35</x:v>
      </x:c>
      <x:c r="H17" s="7" t="s">
        <x:v>35</x:v>
      </x:c>
      <x:c r="I17" s="7" t="s">
        <x:v>35</x:v>
      </x:c>
      <x:c r="J17" s="7" t="s">
        <x:v>35</x:v>
      </x:c>
      <x:c r="K17" s="7" t="s">
        <x:v>35</x:v>
      </x:c>
      <x:c r="L17" s="7" t="s">
        <x:v>35</x:v>
      </x:c>
      <x:c r="M17" s="7" t="s">
        <x:v>35</x:v>
      </x:c>
      <x:c r="N17" s="7" t="s">
        <x:v>35</x:v>
      </x:c>
      <x:c r="O17" s="7" t="s">
        <x:v>35</x:v>
      </x:c>
      <x:c r="P17" s="7" t="s">
        <x:v>35</x:v>
      </x:c>
      <x:c r="Q17" s="7" t="s">
        <x:v>35</x:v>
      </x:c>
      <x:c r="R17" s="7" t="s">
        <x:v>52</x:v>
      </x:c>
      <x:c r="S17" s="10">
        <x:f t="shared" si="0"/>
        <x:v>1</x:v>
      </x:c>
      <x:c r="T17" s="7" t="str">
        <x:f t="shared" si="1"/>
        <x:v>Ready</x:v>
      </x:c>
      <x:c r="U17" s="7" t="s">
        <x:v>37</x:v>
      </x:c>
      <x:c r="V17" s="7" t="s">
        <x:v>36</x:v>
      </x:c>
      <x:c r="W17" s="7" t="s">
        <x:v>38</x:v>
      </x:c>
      <x:c r="X17" s="7" t="s">
        <x:v>73</x:v>
      </x:c>
      <x:c r="Y17" s="7" t="str">
        <x:f t="shared" si="2"/>
        <x:v>Ready for HRIS Setup</x:v>
      </x:c>
      <x:c r="Z17" s="7" t="str">
        <x:f t="shared" si="3"/>
        <x:v>HRIS setup</x:v>
      </x:c>
      <x:c r="AA17" s="7" t="str">
        <x:f t="shared" si="4"/>
        <x:v>HRIS/payroll setup</x:v>
      </x:c>
      <x:c r="AB17" s="7" t="str">
        <x:f t="shared" si="5"/>
        <x:v>HR creates HRIS employee ID and payroll screens</x:v>
      </x:c>
      <x:c r="AC17" s="7" t="str">
        <x:f t="shared" si="6"/>
        <x:v>HR</x:v>
      </x:c>
      <x:c r="AD17" s="7" t="str">
        <x:f t="shared" si="7"/>
        <x:v>Medium</x:v>
      </x:c>
      <x:c r="AE17" s="7" t="str">
        <x:f t="shared" si="8"/>
      </x:c>
      <x:c r="AF17" s="7" t="s">
        <x:v>90</x:v>
      </x:c>
      <x:c r="AG17" s="31" t="str">
        <x:v>rowan.morgan@example.com</x:v>
      </x:c>
      <x:c r="AH17" s="31" t="str">
        <x:v>Foundation Supervisor</x:v>
      </x:c>
      <x:c r="AI17" s="31" t="str">
        <x:v>foundation.supervisor@example.com</x:v>
      </x:c>
      <x:c r="AJ17" s="31" t="str">
        <x:v>Email</x:v>
      </x:c>
    </x:row>
    <x:row r="18" ht="28.799999237060547">
      <x:c r="A18" s="7" t="s">
        <x:v>91</x:v>
      </x:c>
      <x:c r="B18" s="7" t="s">
        <x:v>92</x:v>
      </x:c>
      <x:c r="C18" s="7" t="s">
        <x:v>93</x:v>
      </x:c>
      <x:c r="D18" s="9">
        <x:v>46290</x:v>
      </x:c>
      <x:c r="E18" s="7" t="n">
        <x:f>D18-Process_Rules!$B$2</x:f>
        <x:v>8</x:v>
      </x:c>
      <x:c r="F18" s="7" t="s">
        <x:v>35</x:v>
      </x:c>
      <x:c r="G18" s="7" t="s">
        <x:v>35</x:v>
      </x:c>
      <x:c r="H18" s="7" t="s">
        <x:v>35</x:v>
      </x:c>
      <x:c r="I18" s="7" t="s">
        <x:v>35</x:v>
      </x:c>
      <x:c r="J18" s="7" t="s">
        <x:v>35</x:v>
      </x:c>
      <x:c r="K18" s="7" t="s">
        <x:v>35</x:v>
      </x:c>
      <x:c r="L18" s="7" t="s">
        <x:v>35</x:v>
      </x:c>
      <x:c r="M18" s="7" t="s">
        <x:v>35</x:v>
      </x:c>
      <x:c r="N18" s="7" t="s">
        <x:v>35</x:v>
      </x:c>
      <x:c r="O18" s="7" t="s">
        <x:v>35</x:v>
      </x:c>
      <x:c r="P18" s="7" t="s">
        <x:v>35</x:v>
      </x:c>
      <x:c r="Q18" s="7" t="s">
        <x:v>35</x:v>
      </x:c>
      <x:c r="R18" s="7" t="s">
        <x:v>36</x:v>
      </x:c>
      <x:c r="S18" s="10">
        <x:f t="shared" si="0"/>
        <x:v>1</x:v>
      </x:c>
      <x:c r="T18" s="7" t="str">
        <x:f t="shared" si="1"/>
        <x:v>Ready</x:v>
      </x:c>
      <x:c r="U18" s="7" t="s">
        <x:v>37</x:v>
      </x:c>
      <x:c r="V18" s="7" t="s">
        <x:v>36</x:v>
      </x:c>
      <x:c r="W18" s="7" t="s">
        <x:v>38</x:v>
      </x:c>
      <x:c r="X18" s="7" t="s">
        <x:v>73</x:v>
      </x:c>
      <x:c r="Y18" s="7" t="str">
        <x:f t="shared" si="2"/>
        <x:v>Ready for HRIS Setup</x:v>
      </x:c>
      <x:c r="Z18" s="7" t="str">
        <x:f t="shared" si="3"/>
        <x:v>HRIS setup</x:v>
      </x:c>
      <x:c r="AA18" s="7" t="str">
        <x:f t="shared" si="4"/>
        <x:v>HRIS/payroll setup</x:v>
      </x:c>
      <x:c r="AB18" s="7" t="str">
        <x:f t="shared" si="5"/>
        <x:v>HR creates HRIS employee ID and payroll screens</x:v>
      </x:c>
      <x:c r="AC18" s="7" t="str">
        <x:f t="shared" si="6"/>
        <x:v>HR</x:v>
      </x:c>
      <x:c r="AD18" s="7" t="str">
        <x:f t="shared" si="7"/>
        <x:v>Medium</x:v>
      </x:c>
      <x:c r="AE18" s="7" t="str">
        <x:f t="shared" si="8"/>
      </x:c>
      <x:c r="AF18" s="7" t="s">
        <x:v>90</x:v>
      </x:c>
      <x:c r="AG18" s="31" t="str">
        <x:v>skyler.bennett@example.com</x:v>
      </x:c>
      <x:c r="AH18" s="31" t="str">
        <x:v>Workforce Development Supervisor</x:v>
      </x:c>
      <x:c r="AI18" s="31" t="str">
        <x:v>workforce.development.supervisor@example.com</x:v>
      </x:c>
      <x:c r="AJ18" s="31" t="str">
        <x:v>Email</x:v>
      </x:c>
    </x:row>
    <x:row r="19">
      <x:c r="A19" s="7" t="s">
        <x:v>94</x:v>
      </x:c>
      <x:c r="B19" s="7" t="s">
        <x:v>95</x:v>
      </x:c>
      <x:c r="C19" s="7" t="s">
        <x:v>96</x:v>
      </x:c>
      <x:c r="D19" s="9">
        <x:v>46288</x:v>
      </x:c>
      <x:c r="E19" s="7" t="n">
        <x:f>D19-Process_Rules!$B$2</x:f>
        <x:v>6</x:v>
      </x:c>
      <x:c r="F19" s="7" t="s">
        <x:v>35</x:v>
      </x:c>
      <x:c r="G19" s="7" t="s">
        <x:v>35</x:v>
      </x:c>
      <x:c r="H19" s="7" t="s">
        <x:v>35</x:v>
      </x:c>
      <x:c r="I19" s="7" t="s">
        <x:v>35</x:v>
      </x:c>
      <x:c r="J19" s="7" t="s">
        <x:v>35</x:v>
      </x:c>
      <x:c r="K19" s="7" t="s">
        <x:v>35</x:v>
      </x:c>
      <x:c r="L19" s="7" t="s">
        <x:v>35</x:v>
      </x:c>
      <x:c r="M19" s="7" t="s">
        <x:v>35</x:v>
      </x:c>
      <x:c r="N19" s="7" t="s">
        <x:v>35</x:v>
      </x:c>
      <x:c r="O19" s="7" t="s">
        <x:v>35</x:v>
      </x:c>
      <x:c r="P19" s="7" t="s">
        <x:v>35</x:v>
      </x:c>
      <x:c r="Q19" s="7" t="s">
        <x:v>35</x:v>
      </x:c>
      <x:c r="R19" s="7" t="s">
        <x:v>52</x:v>
      </x:c>
      <x:c r="S19" s="10">
        <x:f t="shared" si="0"/>
        <x:v>1</x:v>
      </x:c>
      <x:c r="T19" s="7" t="str">
        <x:f t="shared" si="1"/>
        <x:v>Ready</x:v>
      </x:c>
      <x:c r="U19" s="7" t="s">
        <x:v>37</x:v>
      </x:c>
      <x:c r="V19" s="7" t="s">
        <x:v>36</x:v>
      </x:c>
      <x:c r="W19" s="7" t="s">
        <x:v>38</x:v>
      </x:c>
      <x:c r="X19" s="7" t="s">
        <x:v>73</x:v>
      </x:c>
      <x:c r="Y19" s="7" t="str">
        <x:f t="shared" si="2"/>
        <x:v>Ready for HRIS Setup</x:v>
      </x:c>
      <x:c r="Z19" s="7" t="str">
        <x:f t="shared" si="3"/>
        <x:v>HRIS setup</x:v>
      </x:c>
      <x:c r="AA19" s="7" t="str">
        <x:f t="shared" si="4"/>
        <x:v>HRIS/payroll setup</x:v>
      </x:c>
      <x:c r="AB19" s="7" t="str">
        <x:f t="shared" si="5"/>
        <x:v>HR creates HRIS employee ID and payroll screens</x:v>
      </x:c>
      <x:c r="AC19" s="7" t="str">
        <x:f t="shared" si="6"/>
        <x:v>HR</x:v>
      </x:c>
      <x:c r="AD19" s="7" t="str">
        <x:f t="shared" si="7"/>
        <x:v>High</x:v>
      </x:c>
      <x:c r="AE19" s="7" t="str">
        <x:f t="shared" si="8"/>
      </x:c>
      <x:c r="AF19" s="7" t="s">
        <x:v>90</x:v>
      </x:c>
      <x:c r="AG19" s="31" t="str">
        <x:v>reese.turner@example.com</x:v>
      </x:c>
      <x:c r="AH19" s="31" t="str">
        <x:v>Athletics Supervisor</x:v>
      </x:c>
      <x:c r="AI19" s="31" t="str">
        <x:v>athletics.supervisor@example.com</x:v>
      </x:c>
      <x:c r="AJ19" s="31" t="str">
        <x:v>Email</x:v>
      </x:c>
    </x:row>
    <x:row r="20">
      <x:c r="A20" s="7" t="s">
        <x:v>97</x:v>
      </x:c>
      <x:c r="B20" s="7" t="s">
        <x:v>98</x:v>
      </x:c>
      <x:c r="C20" s="7" t="s">
        <x:v>34</x:v>
      </x:c>
      <x:c r="D20" s="9">
        <x:v>46286</x:v>
      </x:c>
      <x:c r="E20" s="7" t="n">
        <x:f>D20-Process_Rules!$B$2</x:f>
        <x:v>4</x:v>
      </x:c>
      <x:c r="F20" s="7" t="s">
        <x:v>35</x:v>
      </x:c>
      <x:c r="G20" s="7" t="s">
        <x:v>35</x:v>
      </x:c>
      <x:c r="H20" s="7" t="s">
        <x:v>35</x:v>
      </x:c>
      <x:c r="I20" s="7" t="s">
        <x:v>35</x:v>
      </x:c>
      <x:c r="J20" s="7" t="s">
        <x:v>35</x:v>
      </x:c>
      <x:c r="K20" s="7" t="s">
        <x:v>35</x:v>
      </x:c>
      <x:c r="L20" s="7" t="s">
        <x:v>35</x:v>
      </x:c>
      <x:c r="M20" s="7" t="s">
        <x:v>35</x:v>
      </x:c>
      <x:c r="N20" s="7" t="s">
        <x:v>35</x:v>
      </x:c>
      <x:c r="O20" s="7" t="s">
        <x:v>35</x:v>
      </x:c>
      <x:c r="P20" s="7" t="s">
        <x:v>35</x:v>
      </x:c>
      <x:c r="Q20" s="7" t="s">
        <x:v>35</x:v>
      </x:c>
      <x:c r="R20" s="7" t="s">
        <x:v>36</x:v>
      </x:c>
      <x:c r="S20" s="10">
        <x:f t="shared" si="0"/>
        <x:v>1</x:v>
      </x:c>
      <x:c r="T20" s="7" t="str">
        <x:f t="shared" si="1"/>
        <x:v>Ready</x:v>
      </x:c>
      <x:c r="U20" s="7" t="s">
        <x:v>37</x:v>
      </x:c>
      <x:c r="V20" s="7" t="s">
        <x:v>36</x:v>
      </x:c>
      <x:c r="W20" s="7" t="s">
        <x:v>38</x:v>
      </x:c>
      <x:c r="X20" s="7" t="s">
        <x:v>73</x:v>
      </x:c>
      <x:c r="Y20" s="7" t="str">
        <x:f t="shared" si="2"/>
        <x:v>Ready for HRIS Setup</x:v>
      </x:c>
      <x:c r="Z20" s="7" t="str">
        <x:f t="shared" si="3"/>
        <x:v>HRIS setup</x:v>
      </x:c>
      <x:c r="AA20" s="7" t="str">
        <x:f t="shared" si="4"/>
        <x:v>HRIS/payroll setup</x:v>
      </x:c>
      <x:c r="AB20" s="7" t="str">
        <x:f t="shared" si="5"/>
        <x:v>HR creates HRIS employee ID and payroll screens</x:v>
      </x:c>
      <x:c r="AC20" s="7" t="str">
        <x:f t="shared" si="6"/>
        <x:v>HR</x:v>
      </x:c>
      <x:c r="AD20" s="7" t="str">
        <x:f t="shared" si="7"/>
        <x:v>High</x:v>
      </x:c>
      <x:c r="AE20" s="7" t="str">
        <x:f t="shared" si="8"/>
      </x:c>
      <x:c r="AF20" s="7" t="s">
        <x:v>90</x:v>
      </x:c>
      <x:c r="AG20" s="31" t="str">
        <x:v>dakota.price@example.com</x:v>
      </x:c>
      <x:c r="AH20" s="31" t="str">
        <x:v>Academic Affairs Supervisor</x:v>
      </x:c>
      <x:c r="AI20" s="31" t="str">
        <x:v>academic.affairs.supervisor@example.com</x:v>
      </x:c>
      <x:c r="AJ20" s="31" t="str">
        <x:v>Email</x:v>
      </x:c>
    </x:row>
    <x:row r="21">
      <x:c r="A21" s="7" t="s">
        <x:v>99</x:v>
      </x:c>
      <x:c r="B21" s="7" t="s">
        <x:v>100</x:v>
      </x:c>
      <x:c r="C21" s="7" t="s">
        <x:v>42</x:v>
      </x:c>
      <x:c r="D21" s="9">
        <x:v>46292</x:v>
      </x:c>
      <x:c r="E21" s="7" t="n">
        <x:f>D21-Process_Rules!$B$2</x:f>
        <x:v>10</x:v>
      </x:c>
      <x:c r="F21" s="7" t="s">
        <x:v>35</x:v>
      </x:c>
      <x:c r="G21" s="7" t="s">
        <x:v>35</x:v>
      </x:c>
      <x:c r="H21" s="7" t="s">
        <x:v>35</x:v>
      </x:c>
      <x:c r="I21" s="7" t="s">
        <x:v>35</x:v>
      </x:c>
      <x:c r="J21" s="7" t="s">
        <x:v>35</x:v>
      </x:c>
      <x:c r="K21" s="7" t="s">
        <x:v>35</x:v>
      </x:c>
      <x:c r="L21" s="7" t="s">
        <x:v>35</x:v>
      </x:c>
      <x:c r="M21" s="7" t="s">
        <x:v>35</x:v>
      </x:c>
      <x:c r="N21" s="7" t="s">
        <x:v>35</x:v>
      </x:c>
      <x:c r="O21" s="7" t="s">
        <x:v>35</x:v>
      </x:c>
      <x:c r="P21" s="7" t="s">
        <x:v>35</x:v>
      </x:c>
      <x:c r="Q21" s="7" t="s">
        <x:v>35</x:v>
      </x:c>
      <x:c r="R21" s="7" t="s">
        <x:v>52</x:v>
      </x:c>
      <x:c r="S21" s="10">
        <x:f t="shared" si="0"/>
        <x:v>1</x:v>
      </x:c>
      <x:c r="T21" s="7" t="str">
        <x:f t="shared" si="1"/>
        <x:v>Ready</x:v>
      </x:c>
      <x:c r="U21" s="7" t="s">
        <x:v>101</x:v>
      </x:c>
      <x:c r="V21" s="7" t="s">
        <x:v>35</x:v>
      </x:c>
      <x:c r="W21" s="7" t="s">
        <x:v>38</x:v>
      </x:c>
      <x:c r="X21" s="7" t="s">
        <x:v>73</x:v>
      </x:c>
      <x:c r="Y21" s="7" t="str">
        <x:f t="shared" si="2"/>
        <x:v>Compliance Pending</x:v>
      </x:c>
      <x:c r="Z21" s="7" t="str">
        <x:f t="shared" si="3"/>
        <x:v>SafeColleges</x:v>
      </x:c>
      <x:c r="AA21" s="7" t="str">
        <x:f t="shared" si="4"/>
        <x:v>IT email/system access</x:v>
      </x:c>
      <x:c r="AB21" s="7" t="str">
        <x:f t="shared" si="5"/>
        <x:v>New hire completes SafeColleges</x:v>
      </x:c>
      <x:c r="AC21" s="7" t="str">
        <x:f t="shared" si="6"/>
        <x:v>New Hire</x:v>
      </x:c>
      <x:c r="AD21" s="7" t="str">
        <x:f t="shared" si="7"/>
        <x:v>Medium</x:v>
      </x:c>
      <x:c r="AE21" s="7" t="str">
        <x:f t="shared" si="8"/>
      </x:c>
      <x:c r="AF21" s="7" t="s">
        <x:v>102</x:v>
      </x:c>
      <x:c r="AG21" s="31" t="str">
        <x:v>finley.adams@example.com</x:v>
      </x:c>
      <x:c r="AH21" s="31" t="str">
        <x:v>Student Services Supervisor</x:v>
      </x:c>
      <x:c r="AI21" s="31" t="str">
        <x:v>student.services.supervisor@example.com</x:v>
      </x:c>
      <x:c r="AJ21" s="31" t="str">
        <x:v>Email</x:v>
      </x:c>
    </x:row>
    <x:row r="22">
      <x:c r="A22" s="7" t="s">
        <x:v>103</x:v>
      </x:c>
      <x:c r="B22" s="7" t="s">
        <x:v>104</x:v>
      </x:c>
      <x:c r="C22" s="7" t="s">
        <x:v>45</x:v>
      </x:c>
      <x:c r="D22" s="9">
        <x:v>46289</x:v>
      </x:c>
      <x:c r="E22" s="7" t="n">
        <x:f>D22-Process_Rules!$B$2</x:f>
        <x:v>7</x:v>
      </x:c>
      <x:c r="F22" s="7" t="s">
        <x:v>35</x:v>
      </x:c>
      <x:c r="G22" s="7" t="s">
        <x:v>35</x:v>
      </x:c>
      <x:c r="H22" s="7" t="s">
        <x:v>35</x:v>
      </x:c>
      <x:c r="I22" s="7" t="s">
        <x:v>35</x:v>
      </x:c>
      <x:c r="J22" s="7" t="s">
        <x:v>35</x:v>
      </x:c>
      <x:c r="K22" s="7" t="s">
        <x:v>35</x:v>
      </x:c>
      <x:c r="L22" s="7" t="s">
        <x:v>35</x:v>
      </x:c>
      <x:c r="M22" s="7" t="s">
        <x:v>35</x:v>
      </x:c>
      <x:c r="N22" s="7" t="s">
        <x:v>35</x:v>
      </x:c>
      <x:c r="O22" s="7" t="s">
        <x:v>35</x:v>
      </x:c>
      <x:c r="P22" s="7" t="s">
        <x:v>35</x:v>
      </x:c>
      <x:c r="Q22" s="7" t="s">
        <x:v>35</x:v>
      </x:c>
      <x:c r="R22" s="7" t="s">
        <x:v>36</x:v>
      </x:c>
      <x:c r="S22" s="10">
        <x:f t="shared" si="0"/>
        <x:v>1</x:v>
      </x:c>
      <x:c r="T22" s="7" t="str">
        <x:f t="shared" si="1"/>
        <x:v>Ready</x:v>
      </x:c>
      <x:c r="U22" s="7" t="s">
        <x:v>101</x:v>
      </x:c>
      <x:c r="V22" s="7" t="s">
        <x:v>35</x:v>
      </x:c>
      <x:c r="W22" s="7" t="s">
        <x:v>38</x:v>
      </x:c>
      <x:c r="X22" s="7" t="s">
        <x:v>73</x:v>
      </x:c>
      <x:c r="Y22" s="7" t="str">
        <x:f t="shared" si="2"/>
        <x:v>Compliance Pending</x:v>
      </x:c>
      <x:c r="Z22" s="7" t="str">
        <x:f t="shared" si="3"/>
        <x:v>SafeColleges</x:v>
      </x:c>
      <x:c r="AA22" s="7" t="str">
        <x:f t="shared" si="4"/>
        <x:v>IT email/system access</x:v>
      </x:c>
      <x:c r="AB22" s="7" t="str">
        <x:f t="shared" si="5"/>
        <x:v>New hire completes SafeColleges</x:v>
      </x:c>
      <x:c r="AC22" s="7" t="str">
        <x:f t="shared" si="6"/>
        <x:v>New Hire</x:v>
      </x:c>
      <x:c r="AD22" s="7" t="str">
        <x:f t="shared" si="7"/>
        <x:v>High</x:v>
      </x:c>
      <x:c r="AE22" s="7" t="str">
        <x:f t="shared" si="8"/>
      </x:c>
      <x:c r="AF22" s="7" t="s">
        <x:v>102</x:v>
      </x:c>
      <x:c r="AG22" s="31" t="str">
        <x:v>logan.rivera@example.com</x:v>
      </x:c>
      <x:c r="AH22" s="31" t="str">
        <x:v>Finance Supervisor</x:v>
      </x:c>
      <x:c r="AI22" s="31" t="str">
        <x:v>finance.supervisor@example.com</x:v>
      </x:c>
      <x:c r="AJ22" s="31" t="str">
        <x:v>Email</x:v>
      </x:c>
    </x:row>
    <x:row r="23">
      <x:c r="A23" s="7" t="s">
        <x:v>105</x:v>
      </x:c>
      <x:c r="B23" s="7" t="s">
        <x:v>106</x:v>
      </x:c>
      <x:c r="C23" s="7" t="s">
        <x:v>48</x:v>
      </x:c>
      <x:c r="D23" s="9">
        <x:v>46287</x:v>
      </x:c>
      <x:c r="E23" s="7" t="n">
        <x:f>D23-Process_Rules!$B$2</x:f>
        <x:v>5</x:v>
      </x:c>
      <x:c r="F23" s="7" t="s">
        <x:v>35</x:v>
      </x:c>
      <x:c r="G23" s="7" t="s">
        <x:v>35</x:v>
      </x:c>
      <x:c r="H23" s="7" t="s">
        <x:v>35</x:v>
      </x:c>
      <x:c r="I23" s="7" t="s">
        <x:v>35</x:v>
      </x:c>
      <x:c r="J23" s="7" t="s">
        <x:v>35</x:v>
      </x:c>
      <x:c r="K23" s="7" t="s">
        <x:v>35</x:v>
      </x:c>
      <x:c r="L23" s="7" t="s">
        <x:v>35</x:v>
      </x:c>
      <x:c r="M23" s="7" t="s">
        <x:v>35</x:v>
      </x:c>
      <x:c r="N23" s="7" t="s">
        <x:v>35</x:v>
      </x:c>
      <x:c r="O23" s="7" t="s">
        <x:v>35</x:v>
      </x:c>
      <x:c r="P23" s="7" t="s">
        <x:v>35</x:v>
      </x:c>
      <x:c r="Q23" s="7" t="s">
        <x:v>35</x:v>
      </x:c>
      <x:c r="R23" s="7" t="s">
        <x:v>52</x:v>
      </x:c>
      <x:c r="S23" s="10">
        <x:f t="shared" si="0"/>
        <x:v>1</x:v>
      </x:c>
      <x:c r="T23" s="7" t="str">
        <x:f t="shared" si="1"/>
        <x:v>Ready</x:v>
      </x:c>
      <x:c r="U23" s="7" t="s">
        <x:v>101</x:v>
      </x:c>
      <x:c r="V23" s="7" t="s">
        <x:v>35</x:v>
      </x:c>
      <x:c r="W23" s="7" t="s">
        <x:v>38</x:v>
      </x:c>
      <x:c r="X23" s="7" t="s">
        <x:v>73</x:v>
      </x:c>
      <x:c r="Y23" s="7" t="str">
        <x:f t="shared" si="2"/>
        <x:v>Compliance Pending</x:v>
      </x:c>
      <x:c r="Z23" s="7" t="str">
        <x:f t="shared" si="3"/>
        <x:v>SafeColleges</x:v>
      </x:c>
      <x:c r="AA23" s="7" t="str">
        <x:f t="shared" si="4"/>
        <x:v>IT email/system access</x:v>
      </x:c>
      <x:c r="AB23" s="7" t="str">
        <x:f t="shared" si="5"/>
        <x:v>New hire completes SafeColleges</x:v>
      </x:c>
      <x:c r="AC23" s="7" t="str">
        <x:f t="shared" si="6"/>
        <x:v>New Hire</x:v>
      </x:c>
      <x:c r="AD23" s="7" t="str">
        <x:f t="shared" si="7"/>
        <x:v>High</x:v>
      </x:c>
      <x:c r="AE23" s="7" t="str">
        <x:f t="shared" si="8"/>
      </x:c>
      <x:c r="AF23" s="7" t="s">
        <x:v>102</x:v>
      </x:c>
      <x:c r="AG23" s="31" t="str">
        <x:v>charlie.foster@example.com</x:v>
      </x:c>
      <x:c r="AH23" s="31" t="str">
        <x:v>Facilities Supervisor</x:v>
      </x:c>
      <x:c r="AI23" s="31" t="str">
        <x:v>facilities.supervisor@example.com</x:v>
      </x:c>
      <x:c r="AJ23" s="31" t="str">
        <x:v>Email</x:v>
      </x:c>
    </x:row>
    <x:row r="24">
      <x:c r="A24" s="7" t="s">
        <x:v>107</x:v>
      </x:c>
      <x:c r="B24" s="7" t="s">
        <x:v>108</x:v>
      </x:c>
      <x:c r="C24" s="7" t="s">
        <x:v>51</x:v>
      </x:c>
      <x:c r="D24" s="9">
        <x:v>46285</x:v>
      </x:c>
      <x:c r="E24" s="7" t="n">
        <x:f>D24-Process_Rules!$B$2</x:f>
        <x:v>3</x:v>
      </x:c>
      <x:c r="F24" s="7" t="s">
        <x:v>35</x:v>
      </x:c>
      <x:c r="G24" s="7" t="s">
        <x:v>35</x:v>
      </x:c>
      <x:c r="H24" s="7" t="s">
        <x:v>35</x:v>
      </x:c>
      <x:c r="I24" s="7" t="s">
        <x:v>35</x:v>
      </x:c>
      <x:c r="J24" s="7" t="s">
        <x:v>35</x:v>
      </x:c>
      <x:c r="K24" s="7" t="s">
        <x:v>35</x:v>
      </x:c>
      <x:c r="L24" s="7" t="s">
        <x:v>35</x:v>
      </x:c>
      <x:c r="M24" s="7" t="s">
        <x:v>35</x:v>
      </x:c>
      <x:c r="N24" s="7" t="s">
        <x:v>35</x:v>
      </x:c>
      <x:c r="O24" s="7" t="s">
        <x:v>35</x:v>
      </x:c>
      <x:c r="P24" s="7" t="s">
        <x:v>35</x:v>
      </x:c>
      <x:c r="Q24" s="7" t="s">
        <x:v>35</x:v>
      </x:c>
      <x:c r="R24" s="7" t="s">
        <x:v>52</x:v>
      </x:c>
      <x:c r="S24" s="10">
        <x:f t="shared" si="0"/>
        <x:v>1</x:v>
      </x:c>
      <x:c r="T24" s="7" t="str">
        <x:f t="shared" si="1"/>
        <x:v>Ready</x:v>
      </x:c>
      <x:c r="U24" s="7" t="s">
        <x:v>101</x:v>
      </x:c>
      <x:c r="V24" s="7" t="s">
        <x:v>35</x:v>
      </x:c>
      <x:c r="W24" s="7" t="s">
        <x:v>38</x:v>
      </x:c>
      <x:c r="X24" s="7" t="s">
        <x:v>73</x:v>
      </x:c>
      <x:c r="Y24" s="7" t="str">
        <x:f t="shared" si="2"/>
        <x:v>Compliance Pending</x:v>
      </x:c>
      <x:c r="Z24" s="7" t="str">
        <x:f t="shared" si="3"/>
        <x:v>SafeColleges</x:v>
      </x:c>
      <x:c r="AA24" s="7" t="str">
        <x:f t="shared" si="4"/>
        <x:v>IT email/system access</x:v>
      </x:c>
      <x:c r="AB24" s="7" t="str">
        <x:f t="shared" si="5"/>
        <x:v>New hire completes SafeColleges</x:v>
      </x:c>
      <x:c r="AC24" s="7" t="str">
        <x:f t="shared" si="6"/>
        <x:v>New Hire</x:v>
      </x:c>
      <x:c r="AD24" s="7" t="str">
        <x:f t="shared" si="7"/>
        <x:v>High</x:v>
      </x:c>
      <x:c r="AE24" s="7" t="str">
        <x:f t="shared" si="8"/>
      </x:c>
      <x:c r="AF24" s="7" t="s">
        <x:v>102</x:v>
      </x:c>
      <x:c r="AG24" s="31" t="str">
        <x:v>sydney.collins@example.com</x:v>
      </x:c>
      <x:c r="AH24" s="31" t="str">
        <x:v>Human Resources Supervisor</x:v>
      </x:c>
      <x:c r="AI24" s="31" t="str">
        <x:v>human.resources.supervisor@example.com</x:v>
      </x:c>
      <x:c r="AJ24" s="31" t="str">
        <x:v>Email</x:v>
      </x:c>
    </x:row>
    <x:row r="25" ht="28.799999237060547">
      <x:c r="A25" s="7" t="s">
        <x:v>109</x:v>
      </x:c>
      <x:c r="B25" s="7" t="s">
        <x:v>110</x:v>
      </x:c>
      <x:c r="C25" s="7" t="s">
        <x:v>56</x:v>
      </x:c>
      <x:c r="D25" s="9">
        <x:v>46283</x:v>
      </x:c>
      <x:c r="E25" s="7" t="n">
        <x:f>D25-Process_Rules!$B$2</x:f>
        <x:v>1</x:v>
      </x:c>
      <x:c r="F25" s="7" t="s">
        <x:v>35</x:v>
      </x:c>
      <x:c r="G25" s="7" t="s">
        <x:v>35</x:v>
      </x:c>
      <x:c r="H25" s="7" t="s">
        <x:v>35</x:v>
      </x:c>
      <x:c r="I25" s="7" t="s">
        <x:v>35</x:v>
      </x:c>
      <x:c r="J25" s="7" t="s">
        <x:v>35</x:v>
      </x:c>
      <x:c r="K25" s="7" t="s">
        <x:v>35</x:v>
      </x:c>
      <x:c r="L25" s="7" t="s">
        <x:v>35</x:v>
      </x:c>
      <x:c r="M25" s="7" t="s">
        <x:v>35</x:v>
      </x:c>
      <x:c r="N25" s="7" t="s">
        <x:v>35</x:v>
      </x:c>
      <x:c r="O25" s="7" t="s">
        <x:v>35</x:v>
      </x:c>
      <x:c r="P25" s="7" t="s">
        <x:v>35</x:v>
      </x:c>
      <x:c r="Q25" s="7" t="s">
        <x:v>35</x:v>
      </x:c>
      <x:c r="R25" s="7" t="s">
        <x:v>36</x:v>
      </x:c>
      <x:c r="S25" s="10">
        <x:f t="shared" si="0"/>
        <x:v>1</x:v>
      </x:c>
      <x:c r="T25" s="7" t="str">
        <x:f t="shared" si="1"/>
        <x:v>Ready</x:v>
      </x:c>
      <x:c r="U25" s="7" t="s">
        <x:v>101</x:v>
      </x:c>
      <x:c r="V25" s="7" t="s">
        <x:v>35</x:v>
      </x:c>
      <x:c r="W25" s="7" t="s">
        <x:v>38</x:v>
      </x:c>
      <x:c r="X25" s="7" t="s">
        <x:v>73</x:v>
      </x:c>
      <x:c r="Y25" s="7" t="str">
        <x:f t="shared" si="2"/>
        <x:v>Compliance Pending</x:v>
      </x:c>
      <x:c r="Z25" s="7" t="str">
        <x:f t="shared" si="3"/>
        <x:v>SafeColleges</x:v>
      </x:c>
      <x:c r="AA25" s="7" t="str">
        <x:f t="shared" si="4"/>
        <x:v>IT email/system access</x:v>
      </x:c>
      <x:c r="AB25" s="7" t="str">
        <x:f t="shared" si="5"/>
        <x:v>New hire completes SafeColleges</x:v>
      </x:c>
      <x:c r="AC25" s="7" t="str">
        <x:f t="shared" si="6"/>
        <x:v>New Hire</x:v>
      </x:c>
      <x:c r="AD25" s="7" t="str">
        <x:f t="shared" si="7"/>
        <x:v>High</x:v>
      </x:c>
      <x:c r="AE25" s="7" t="str">
        <x:f t="shared" si="8"/>
      </x:c>
      <x:c r="AF25" s="7" t="s">
        <x:v>102</x:v>
      </x:c>
      <x:c r="AG25" s="31" t="str">
        <x:v>parker.murphy@example.com</x:v>
      </x:c>
      <x:c r="AH25" s="31" t="str">
        <x:v>Information Technology Supervisor</x:v>
      </x:c>
      <x:c r="AI25" s="31" t="str">
        <x:v>information.technology.supervisor@example.com</x:v>
      </x:c>
      <x:c r="AJ25" s="31" t="str">
        <x:v>Email</x:v>
      </x:c>
    </x:row>
    <x:row r="26">
      <x:c r="A26" s="7" t="s">
        <x:v>111</x:v>
      </x:c>
      <x:c r="B26" s="7" t="s">
        <x:v>112</x:v>
      </x:c>
      <x:c r="C26" s="7" t="s">
        <x:v>59</x:v>
      </x:c>
      <x:c r="D26" s="9">
        <x:v>46288</x:v>
      </x:c>
      <x:c r="E26" s="7" t="n">
        <x:f>D26-Process_Rules!$B$2</x:f>
        <x:v>6</x:v>
      </x:c>
      <x:c r="F26" s="7" t="s">
        <x:v>35</x:v>
      </x:c>
      <x:c r="G26" s="7" t="s">
        <x:v>35</x:v>
      </x:c>
      <x:c r="H26" s="7" t="s">
        <x:v>35</x:v>
      </x:c>
      <x:c r="I26" s="7" t="s">
        <x:v>35</x:v>
      </x:c>
      <x:c r="J26" s="7" t="s">
        <x:v>35</x:v>
      </x:c>
      <x:c r="K26" s="7" t="s">
        <x:v>35</x:v>
      </x:c>
      <x:c r="L26" s="7" t="s">
        <x:v>35</x:v>
      </x:c>
      <x:c r="M26" s="7" t="s">
        <x:v>35</x:v>
      </x:c>
      <x:c r="N26" s="7" t="s">
        <x:v>35</x:v>
      </x:c>
      <x:c r="O26" s="7" t="s">
        <x:v>35</x:v>
      </x:c>
      <x:c r="P26" s="7" t="s">
        <x:v>35</x:v>
      </x:c>
      <x:c r="Q26" s="7" t="s">
        <x:v>35</x:v>
      </x:c>
      <x:c r="R26" s="7" t="s">
        <x:v>35</x:v>
      </x:c>
      <x:c r="S26" s="10">
        <x:f t="shared" si="0"/>
        <x:v>1</x:v>
      </x:c>
      <x:c r="T26" s="7" t="str">
        <x:f t="shared" si="1"/>
        <x:v>Ready</x:v>
      </x:c>
      <x:c r="U26" s="7" t="s">
        <x:v>101</x:v>
      </x:c>
      <x:c r="V26" s="7" t="s">
        <x:v>35</x:v>
      </x:c>
      <x:c r="W26" s="7" t="s">
        <x:v>38</x:v>
      </x:c>
      <x:c r="X26" s="7" t="s">
        <x:v>36</x:v>
      </x:c>
      <x:c r="Y26" s="7" t="str">
        <x:f t="shared" si="2"/>
        <x:v>Ready for IT Notification</x:v>
      </x:c>
      <x:c r="Z26" s="7" t="str">
        <x:f t="shared" si="3"/>
        <x:v>HR-to-IT handoff</x:v>
      </x:c>
      <x:c r="AA26" s="7" t="str">
        <x:f t="shared" si="4"/>
        <x:v>IT email/system access</x:v>
      </x:c>
      <x:c r="AB26" s="7" t="str">
        <x:f t="shared" si="5"/>
        <x:v>HR notifies IT</x:v>
      </x:c>
      <x:c r="AC26" s="7" t="str">
        <x:f t="shared" si="6"/>
        <x:v>HR</x:v>
      </x:c>
      <x:c r="AD26" s="7" t="str">
        <x:f t="shared" si="7"/>
        <x:v>High</x:v>
      </x:c>
      <x:c r="AE26" s="7" t="str">
        <x:f t="shared" si="8"/>
      </x:c>
      <x:c r="AF26" s="7" t="s">
        <x:v>113</x:v>
      </x:c>
      <x:c r="AG26" s="31" t="str">
        <x:v>blake.cooper@example.com</x:v>
      </x:c>
      <x:c r="AH26" s="31" t="str">
        <x:v>Enrollment Services Supervisor</x:v>
      </x:c>
      <x:c r="AI26" s="31" t="str">
        <x:v>enrollment.services.supervisor@example.com</x:v>
      </x:c>
      <x:c r="AJ26" s="31" t="str">
        <x:v>Email</x:v>
      </x:c>
    </x:row>
    <x:row r="27">
      <x:c r="A27" s="7" t="s">
        <x:v>114</x:v>
      </x:c>
      <x:c r="B27" s="7" t="s">
        <x:v>115</x:v>
      </x:c>
      <x:c r="C27" s="7" t="s">
        <x:v>62</x:v>
      </x:c>
      <x:c r="D27" s="9">
        <x:v>46286</x:v>
      </x:c>
      <x:c r="E27" s="7" t="n">
        <x:f>D27-Process_Rules!$B$2</x:f>
        <x:v>4</x:v>
      </x:c>
      <x:c r="F27" s="7" t="s">
        <x:v>35</x:v>
      </x:c>
      <x:c r="G27" s="7" t="s">
        <x:v>35</x:v>
      </x:c>
      <x:c r="H27" s="7" t="s">
        <x:v>35</x:v>
      </x:c>
      <x:c r="I27" s="7" t="s">
        <x:v>35</x:v>
      </x:c>
      <x:c r="J27" s="7" t="s">
        <x:v>35</x:v>
      </x:c>
      <x:c r="K27" s="7" t="s">
        <x:v>35</x:v>
      </x:c>
      <x:c r="L27" s="7" t="s">
        <x:v>35</x:v>
      </x:c>
      <x:c r="M27" s="7" t="s">
        <x:v>35</x:v>
      </x:c>
      <x:c r="N27" s="7" t="s">
        <x:v>35</x:v>
      </x:c>
      <x:c r="O27" s="7" t="s">
        <x:v>35</x:v>
      </x:c>
      <x:c r="P27" s="7" t="s">
        <x:v>35</x:v>
      </x:c>
      <x:c r="Q27" s="7" t="s">
        <x:v>35</x:v>
      </x:c>
      <x:c r="R27" s="7" t="s">
        <x:v>35</x:v>
      </x:c>
      <x:c r="S27" s="10">
        <x:f t="shared" si="0"/>
        <x:v>1</x:v>
      </x:c>
      <x:c r="T27" s="7" t="str">
        <x:f t="shared" si="1"/>
        <x:v>Ready</x:v>
      </x:c>
      <x:c r="U27" s="7" t="s">
        <x:v>101</x:v>
      </x:c>
      <x:c r="V27" s="7" t="s">
        <x:v>35</x:v>
      </x:c>
      <x:c r="W27" s="7" t="s">
        <x:v>38</x:v>
      </x:c>
      <x:c r="X27" s="7" t="s">
        <x:v>36</x:v>
      </x:c>
      <x:c r="Y27" s="7" t="str">
        <x:f t="shared" si="2"/>
        <x:v>Ready for IT Notification</x:v>
      </x:c>
      <x:c r="Z27" s="7" t="str">
        <x:f t="shared" si="3"/>
        <x:v>HR-to-IT handoff</x:v>
      </x:c>
      <x:c r="AA27" s="7" t="str">
        <x:f t="shared" si="4"/>
        <x:v>IT email/system access</x:v>
      </x:c>
      <x:c r="AB27" s="7" t="str">
        <x:f t="shared" si="5"/>
        <x:v>HR notifies IT</x:v>
      </x:c>
      <x:c r="AC27" s="7" t="str">
        <x:f t="shared" si="6"/>
        <x:v>HR</x:v>
      </x:c>
      <x:c r="AD27" s="7" t="str">
        <x:f t="shared" si="7"/>
        <x:v>High</x:v>
      </x:c>
      <x:c r="AE27" s="7" t="str">
        <x:f t="shared" si="8"/>
      </x:c>
      <x:c r="AF27" s="7" t="s">
        <x:v>113</x:v>
      </x:c>
      <x:c r="AG27" s="31" t="str">
        <x:v>kendall.ward@example.com</x:v>
      </x:c>
      <x:c r="AH27" s="31" t="str">
        <x:v>Business Services Supervisor</x:v>
      </x:c>
      <x:c r="AI27" s="31" t="str">
        <x:v>business.services.supervisor@example.com</x:v>
      </x:c>
      <x:c r="AJ27" s="31" t="str">
        <x:v>Email</x:v>
      </x:c>
    </x:row>
    <x:row r="28">
      <x:c r="A28" s="7" t="s">
        <x:v>116</x:v>
      </x:c>
      <x:c r="B28" s="7" t="s">
        <x:v>117</x:v>
      </x:c>
      <x:c r="C28" s="7" t="s">
        <x:v>65</x:v>
      </x:c>
      <x:c r="D28" s="9">
        <x:v>46284</x:v>
      </x:c>
      <x:c r="E28" s="7" t="n">
        <x:f>D28-Process_Rules!$B$2</x:f>
        <x:v>2</x:v>
      </x:c>
      <x:c r="F28" s="7" t="s">
        <x:v>35</x:v>
      </x:c>
      <x:c r="G28" s="7" t="s">
        <x:v>35</x:v>
      </x:c>
      <x:c r="H28" s="7" t="s">
        <x:v>35</x:v>
      </x:c>
      <x:c r="I28" s="7" t="s">
        <x:v>35</x:v>
      </x:c>
      <x:c r="J28" s="7" t="s">
        <x:v>35</x:v>
      </x:c>
      <x:c r="K28" s="7" t="s">
        <x:v>35</x:v>
      </x:c>
      <x:c r="L28" s="7" t="s">
        <x:v>35</x:v>
      </x:c>
      <x:c r="M28" s="7" t="s">
        <x:v>35</x:v>
      </x:c>
      <x:c r="N28" s="7" t="s">
        <x:v>35</x:v>
      </x:c>
      <x:c r="O28" s="7" t="s">
        <x:v>35</x:v>
      </x:c>
      <x:c r="P28" s="7" t="s">
        <x:v>35</x:v>
      </x:c>
      <x:c r="Q28" s="7" t="s">
        <x:v>35</x:v>
      </x:c>
      <x:c r="R28" s="7" t="s">
        <x:v>35</x:v>
      </x:c>
      <x:c r="S28" s="10">
        <x:f t="shared" si="0"/>
        <x:v>1</x:v>
      </x:c>
      <x:c r="T28" s="7" t="str">
        <x:f t="shared" si="1"/>
        <x:v>Ready</x:v>
      </x:c>
      <x:c r="U28" s="7" t="s">
        <x:v>101</x:v>
      </x:c>
      <x:c r="V28" s="7" t="s">
        <x:v>35</x:v>
      </x:c>
      <x:c r="W28" s="7" t="s">
        <x:v>38</x:v>
      </x:c>
      <x:c r="X28" s="7" t="s">
        <x:v>36</x:v>
      </x:c>
      <x:c r="Y28" s="7" t="str">
        <x:f t="shared" si="2"/>
        <x:v>Ready for IT Notification</x:v>
      </x:c>
      <x:c r="Z28" s="7" t="str">
        <x:f t="shared" si="3"/>
        <x:v>HR-to-IT handoff</x:v>
      </x:c>
      <x:c r="AA28" s="7" t="str">
        <x:f t="shared" si="4"/>
        <x:v>IT email/system access</x:v>
      </x:c>
      <x:c r="AB28" s="7" t="str">
        <x:f t="shared" si="5"/>
        <x:v>HR notifies IT</x:v>
      </x:c>
      <x:c r="AC28" s="7" t="str">
        <x:f t="shared" si="6"/>
        <x:v>HR</x:v>
      </x:c>
      <x:c r="AD28" s="7" t="str">
        <x:f t="shared" si="7"/>
        <x:v>High</x:v>
      </x:c>
      <x:c r="AE28" s="7" t="str">
        <x:f t="shared" si="8"/>
      </x:c>
      <x:c r="AF28" s="7" t="s">
        <x:v>113</x:v>
      </x:c>
      <x:c r="AG28" s="31" t="str">
        <x:v>jesse.flores@example.com</x:v>
      </x:c>
      <x:c r="AH28" s="31" t="str">
        <x:v>Continuing Education Supervisor</x:v>
      </x:c>
      <x:c r="AI28" s="31" t="str">
        <x:v>continuing.education.supervisor@example.com</x:v>
      </x:c>
      <x:c r="AJ28" s="31" t="str">
        <x:v>Email</x:v>
      </x:c>
    </x:row>
    <x:row r="29">
      <x:c r="A29" s="7" t="s">
        <x:v>118</x:v>
      </x:c>
      <x:c r="B29" s="7" t="s">
        <x:v>119</x:v>
      </x:c>
      <x:c r="C29" s="7" t="s">
        <x:v>68</x:v>
      </x:c>
      <x:c r="D29" s="9">
        <x:v>46285</x:v>
      </x:c>
      <x:c r="E29" s="7" t="n">
        <x:f>D29-Process_Rules!$B$2</x:f>
        <x:v>3</x:v>
      </x:c>
      <x:c r="F29" s="7" t="s">
        <x:v>35</x:v>
      </x:c>
      <x:c r="G29" s="7" t="s">
        <x:v>35</x:v>
      </x:c>
      <x:c r="H29" s="7" t="s">
        <x:v>35</x:v>
      </x:c>
      <x:c r="I29" s="7" t="s">
        <x:v>35</x:v>
      </x:c>
      <x:c r="J29" s="7" t="s">
        <x:v>35</x:v>
      </x:c>
      <x:c r="K29" s="7" t="s">
        <x:v>35</x:v>
      </x:c>
      <x:c r="L29" s="7" t="s">
        <x:v>35</x:v>
      </x:c>
      <x:c r="M29" s="7" t="s">
        <x:v>35</x:v>
      </x:c>
      <x:c r="N29" s="7" t="s">
        <x:v>35</x:v>
      </x:c>
      <x:c r="O29" s="7" t="s">
        <x:v>35</x:v>
      </x:c>
      <x:c r="P29" s="7" t="s">
        <x:v>35</x:v>
      </x:c>
      <x:c r="Q29" s="7" t="s">
        <x:v>35</x:v>
      </x:c>
      <x:c r="R29" s="7" t="s">
        <x:v>35</x:v>
      </x:c>
      <x:c r="S29" s="10">
        <x:f t="shared" si="0"/>
        <x:v>1</x:v>
      </x:c>
      <x:c r="T29" s="7" t="str">
        <x:f t="shared" si="1"/>
        <x:v>Ready</x:v>
      </x:c>
      <x:c r="U29" s="7" t="s">
        <x:v>101</x:v>
      </x:c>
      <x:c r="V29" s="7" t="s">
        <x:v>35</x:v>
      </x:c>
      <x:c r="W29" s="7" t="s">
        <x:v>120</x:v>
      </x:c>
      <x:c r="X29" s="7" t="s">
        <x:v>52</x:v>
      </x:c>
      <x:c r="Y29" s="7" t="str">
        <x:f t="shared" si="2"/>
        <x:v>IT Provisioning</x:v>
      </x:c>
      <x:c r="Z29" s="7" t="str">
        <x:f t="shared" si="3"/>
        <x:v>IT access setup</x:v>
      </x:c>
      <x:c r="AA29" s="7" t="str">
        <x:f t="shared" si="4"/>
        <x:v>Operational readiness</x:v>
      </x:c>
      <x:c r="AB29" s="7" t="str">
        <x:f t="shared" si="5"/>
        <x:v>IT completes email/system access</x:v>
      </x:c>
      <x:c r="AC29" s="7" t="str">
        <x:f t="shared" si="6"/>
        <x:v>IT</x:v>
      </x:c>
      <x:c r="AD29" s="7" t="str">
        <x:f t="shared" si="7"/>
        <x:v>High</x:v>
      </x:c>
      <x:c r="AE29" s="7" t="str">
        <x:f t="shared" si="8"/>
      </x:c>
      <x:c r="AF29" s="7" t="s">
        <x:v>121</x:v>
      </x:c>
      <x:c r="AG29" s="31" t="str">
        <x:v>robin.hughes@example.com</x:v>
      </x:c>
      <x:c r="AH29" s="31" t="str">
        <x:v>Library Supervisor</x:v>
      </x:c>
      <x:c r="AI29" s="31" t="str">
        <x:v>library.supervisor@example.com</x:v>
      </x:c>
      <x:c r="AJ29" s="31" t="str">
        <x:v>Email</x:v>
      </x:c>
    </x:row>
    <x:row r="30">
      <x:c r="A30" s="7" t="s">
        <x:v>122</x:v>
      </x:c>
      <x:c r="B30" s="7" t="s">
        <x:v>123</x:v>
      </x:c>
      <x:c r="C30" s="7" t="s">
        <x:v>71</x:v>
      </x:c>
      <x:c r="D30" s="9">
        <x:v>46284</x:v>
      </x:c>
      <x:c r="E30" s="7" t="n">
        <x:f>D30-Process_Rules!$B$2</x:f>
        <x:v>2</x:v>
      </x:c>
      <x:c r="F30" s="7" t="s">
        <x:v>35</x:v>
      </x:c>
      <x:c r="G30" s="7" t="s">
        <x:v>35</x:v>
      </x:c>
      <x:c r="H30" s="7" t="s">
        <x:v>35</x:v>
      </x:c>
      <x:c r="I30" s="7" t="s">
        <x:v>35</x:v>
      </x:c>
      <x:c r="J30" s="7" t="s">
        <x:v>35</x:v>
      </x:c>
      <x:c r="K30" s="7" t="s">
        <x:v>35</x:v>
      </x:c>
      <x:c r="L30" s="7" t="s">
        <x:v>35</x:v>
      </x:c>
      <x:c r="M30" s="7" t="s">
        <x:v>35</x:v>
      </x:c>
      <x:c r="N30" s="7" t="s">
        <x:v>35</x:v>
      </x:c>
      <x:c r="O30" s="7" t="s">
        <x:v>35</x:v>
      </x:c>
      <x:c r="P30" s="7" t="s">
        <x:v>35</x:v>
      </x:c>
      <x:c r="Q30" s="7" t="s">
        <x:v>35</x:v>
      </x:c>
      <x:c r="R30" s="7" t="s">
        <x:v>35</x:v>
      </x:c>
      <x:c r="S30" s="10">
        <x:f t="shared" si="0"/>
        <x:v>1</x:v>
      </x:c>
      <x:c r="T30" s="7" t="str">
        <x:f t="shared" si="1"/>
        <x:v>Ready</x:v>
      </x:c>
      <x:c r="U30" s="7" t="s">
        <x:v>101</x:v>
      </x:c>
      <x:c r="V30" s="7" t="s">
        <x:v>35</x:v>
      </x:c>
      <x:c r="W30" s="7" t="s">
        <x:v>120</x:v>
      </x:c>
      <x:c r="X30" s="7" t="s">
        <x:v>52</x:v>
      </x:c>
      <x:c r="Y30" s="7" t="str">
        <x:f t="shared" si="2"/>
        <x:v>IT Provisioning</x:v>
      </x:c>
      <x:c r="Z30" s="7" t="str">
        <x:f t="shared" si="3"/>
        <x:v>IT access setup</x:v>
      </x:c>
      <x:c r="AA30" s="7" t="str">
        <x:f t="shared" si="4"/>
        <x:v>Operational readiness</x:v>
      </x:c>
      <x:c r="AB30" s="7" t="str">
        <x:f t="shared" si="5"/>
        <x:v>IT completes email/system access</x:v>
      </x:c>
      <x:c r="AC30" s="7" t="str">
        <x:f t="shared" si="6"/>
        <x:v>IT</x:v>
      </x:c>
      <x:c r="AD30" s="7" t="str">
        <x:f t="shared" si="7"/>
        <x:v>High</x:v>
      </x:c>
      <x:c r="AE30" s="7" t="str">
        <x:f t="shared" si="8"/>
      </x:c>
      <x:c r="AF30" s="7" t="s">
        <x:v>121</x:v>
      </x:c>
      <x:c r="AG30" s="31" t="str">
        <x:v>micah.perry@example.com</x:v>
      </x:c>
      <x:c r="AH30" s="31" t="str">
        <x:v>Marketing Supervisor</x:v>
      </x:c>
      <x:c r="AI30" s="31" t="str">
        <x:v>marketing.supervisor@example.com</x:v>
      </x:c>
      <x:c r="AJ30" s="31" t="str">
        <x:v>Email</x:v>
      </x:c>
    </x:row>
    <x:row r="31">
      <x:c r="A31" s="7" t="s">
        <x:v>124</x:v>
      </x:c>
      <x:c r="B31" s="7" t="s">
        <x:v>125</x:v>
      </x:c>
      <x:c r="C31" s="7" t="s">
        <x:v>77</x:v>
      </x:c>
      <x:c r="D31" s="9">
        <x:v>46283</x:v>
      </x:c>
      <x:c r="E31" s="7" t="n">
        <x:f>D31-Process_Rules!$B$2</x:f>
        <x:v>1</x:v>
      </x:c>
      <x:c r="F31" s="7" t="s">
        <x:v>35</x:v>
      </x:c>
      <x:c r="G31" s="7" t="s">
        <x:v>35</x:v>
      </x:c>
      <x:c r="H31" s="7" t="s">
        <x:v>35</x:v>
      </x:c>
      <x:c r="I31" s="7" t="s">
        <x:v>35</x:v>
      </x:c>
      <x:c r="J31" s="7" t="s">
        <x:v>35</x:v>
      </x:c>
      <x:c r="K31" s="7" t="s">
        <x:v>35</x:v>
      </x:c>
      <x:c r="L31" s="7" t="s">
        <x:v>35</x:v>
      </x:c>
      <x:c r="M31" s="7" t="s">
        <x:v>35</x:v>
      </x:c>
      <x:c r="N31" s="7" t="s">
        <x:v>35</x:v>
      </x:c>
      <x:c r="O31" s="7" t="s">
        <x:v>35</x:v>
      </x:c>
      <x:c r="P31" s="7" t="s">
        <x:v>35</x:v>
      </x:c>
      <x:c r="Q31" s="7" t="s">
        <x:v>35</x:v>
      </x:c>
      <x:c r="R31" s="7" t="s">
        <x:v>35</x:v>
      </x:c>
      <x:c r="S31" s="10">
        <x:f t="shared" si="0"/>
        <x:v>1</x:v>
      </x:c>
      <x:c r="T31" s="7" t="str">
        <x:f t="shared" si="1"/>
        <x:v>Ready</x:v>
      </x:c>
      <x:c r="U31" s="7" t="s">
        <x:v>101</x:v>
      </x:c>
      <x:c r="V31" s="7" t="s">
        <x:v>35</x:v>
      </x:c>
      <x:c r="W31" s="7" t="s">
        <x:v>120</x:v>
      </x:c>
      <x:c r="X31" s="7" t="s">
        <x:v>52</x:v>
      </x:c>
      <x:c r="Y31" s="7" t="str">
        <x:f t="shared" si="2"/>
        <x:v>IT Provisioning</x:v>
      </x:c>
      <x:c r="Z31" s="7" t="str">
        <x:f t="shared" si="3"/>
        <x:v>IT access setup</x:v>
      </x:c>
      <x:c r="AA31" s="7" t="str">
        <x:f t="shared" si="4"/>
        <x:v>Operational readiness</x:v>
      </x:c>
      <x:c r="AB31" s="7" t="str">
        <x:f t="shared" si="5"/>
        <x:v>IT completes email/system access</x:v>
      </x:c>
      <x:c r="AC31" s="7" t="str">
        <x:f t="shared" si="6"/>
        <x:v>IT</x:v>
      </x:c>
      <x:c r="AD31" s="7" t="str">
        <x:f t="shared" si="7"/>
        <x:v>High</x:v>
      </x:c>
      <x:c r="AE31" s="7" t="str">
        <x:f t="shared" si="8"/>
      </x:c>
      <x:c r="AF31" s="7" t="s">
        <x:v>121</x:v>
      </x:c>
      <x:c r="AG31" s="31" t="str">
        <x:v>devon.sanders@example.com</x:v>
      </x:c>
      <x:c r="AH31" s="31" t="str">
        <x:v>Allied Health Supervisor</x:v>
      </x:c>
      <x:c r="AI31" s="31" t="str">
        <x:v>allied.health.supervisor@example.com</x:v>
      </x:c>
      <x:c r="AJ31" s="31" t="str">
        <x:v>Email</x:v>
      </x:c>
    </x:row>
    <x:row r="32">
      <x:c r="A32" s="7" t="s">
        <x:v>126</x:v>
      </x:c>
      <x:c r="B32" s="7" t="s">
        <x:v>127</x:v>
      </x:c>
      <x:c r="C32" s="7" t="s">
        <x:v>80</x:v>
      </x:c>
      <x:c r="D32" s="9">
        <x:v>46277</x:v>
      </x:c>
      <x:c r="E32" s="7" t="n">
        <x:f>D32-Process_Rules!$B$2</x:f>
        <x:v>-5</x:v>
      </x:c>
      <x:c r="F32" s="7" t="s">
        <x:v>35</x:v>
      </x:c>
      <x:c r="G32" s="7" t="s">
        <x:v>35</x:v>
      </x:c>
      <x:c r="H32" s="7" t="s">
        <x:v>35</x:v>
      </x:c>
      <x:c r="I32" s="7" t="s">
        <x:v>35</x:v>
      </x:c>
      <x:c r="J32" s="7" t="s">
        <x:v>35</x:v>
      </x:c>
      <x:c r="K32" s="7" t="s">
        <x:v>35</x:v>
      </x:c>
      <x:c r="L32" s="7" t="s">
        <x:v>35</x:v>
      </x:c>
      <x:c r="M32" s="7" t="s">
        <x:v>35</x:v>
      </x:c>
      <x:c r="N32" s="7" t="s">
        <x:v>35</x:v>
      </x:c>
      <x:c r="O32" s="7" t="s">
        <x:v>35</x:v>
      </x:c>
      <x:c r="P32" s="7" t="s">
        <x:v>35</x:v>
      </x:c>
      <x:c r="Q32" s="7" t="s">
        <x:v>35</x:v>
      </x:c>
      <x:c r="R32" s="7" t="s">
        <x:v>35</x:v>
      </x:c>
      <x:c r="S32" s="10">
        <x:f t="shared" si="0"/>
        <x:v>1</x:v>
      </x:c>
      <x:c r="T32" s="7" t="str">
        <x:f t="shared" si="1"/>
        <x:v>Ready</x:v>
      </x:c>
      <x:c r="U32" s="7" t="s">
        <x:v>101</x:v>
      </x:c>
      <x:c r="V32" s="7" t="s">
        <x:v>35</x:v>
      </x:c>
      <x:c r="W32" s="7" t="s">
        <x:v>120</x:v>
      </x:c>
      <x:c r="X32" s="7" t="s">
        <x:v>35</x:v>
      </x:c>
      <x:c r="Y32" s="7" t="str">
        <x:f t="shared" si="2"/>
        <x:v>Fully Operational</x:v>
      </x:c>
      <x:c r="Z32" s="7" t="str">
        <x:f t="shared" si="3"/>
        <x:v>None</x:v>
      </x:c>
      <x:c r="AA32" s="7" t="str">
        <x:f t="shared" si="4"/>
        <x:v>None</x:v>
      </x:c>
      <x:c r="AB32" s="7" t="str">
        <x:f t="shared" si="5"/>
        <x:v>No action needed</x:v>
      </x:c>
      <x:c r="AC32" s="7" t="str">
        <x:f t="shared" si="6"/>
        <x:v>None</x:v>
      </x:c>
      <x:c r="AD32" s="7" t="str">
        <x:f t="shared" si="7"/>
        <x:v>Complete</x:v>
      </x:c>
      <x:c r="AE32" s="7" t="str">
        <x:f t="shared" si="8"/>
      </x:c>
      <x:c r="AF32" s="7" t="s">
        <x:v>128</x:v>
      </x:c>
      <x:c r="AG32" s="31" t="str">
        <x:v>harper.kelly@example.com</x:v>
      </x:c>
      <x:c r="AH32" s="31" t="str">
        <x:v>Nursing Supervisor</x:v>
      </x:c>
      <x:c r="AI32" s="31" t="str">
        <x:v>nursing.supervisor@example.com</x:v>
      </x:c>
      <x:c r="AJ32" s="31" t="str">
        <x:v>Email</x:v>
      </x:c>
    </x:row>
    <x:row r="33">
      <x:c r="A33" s="7" t="s">
        <x:v>129</x:v>
      </x:c>
      <x:c r="B33" s="7" t="s">
        <x:v>130</x:v>
      </x:c>
      <x:c r="C33" s="7" t="s">
        <x:v>83</x:v>
      </x:c>
      <x:c r="D33" s="9">
        <x:v>46280</x:v>
      </x:c>
      <x:c r="E33" s="7" t="n">
        <x:f>D33-Process_Rules!$B$2</x:f>
        <x:v>-2</x:v>
      </x:c>
      <x:c r="F33" s="7" t="s">
        <x:v>35</x:v>
      </x:c>
      <x:c r="G33" s="7" t="s">
        <x:v>35</x:v>
      </x:c>
      <x:c r="H33" s="7" t="s">
        <x:v>35</x:v>
      </x:c>
      <x:c r="I33" s="7" t="s">
        <x:v>35</x:v>
      </x:c>
      <x:c r="J33" s="7" t="s">
        <x:v>35</x:v>
      </x:c>
      <x:c r="K33" s="7" t="s">
        <x:v>35</x:v>
      </x:c>
      <x:c r="L33" s="7" t="s">
        <x:v>35</x:v>
      </x:c>
      <x:c r="M33" s="7" t="s">
        <x:v>35</x:v>
      </x:c>
      <x:c r="N33" s="7" t="s">
        <x:v>35</x:v>
      </x:c>
      <x:c r="O33" s="7" t="s">
        <x:v>35</x:v>
      </x:c>
      <x:c r="P33" s="7" t="s">
        <x:v>35</x:v>
      </x:c>
      <x:c r="Q33" s="7" t="s">
        <x:v>35</x:v>
      </x:c>
      <x:c r="R33" s="7" t="s">
        <x:v>35</x:v>
      </x:c>
      <x:c r="S33" s="10">
        <x:f t="shared" si="0"/>
        <x:v>1</x:v>
      </x:c>
      <x:c r="T33" s="7" t="str">
        <x:f t="shared" si="1"/>
        <x:v>Ready</x:v>
      </x:c>
      <x:c r="U33" s="7" t="s">
        <x:v>101</x:v>
      </x:c>
      <x:c r="V33" s="7" t="s">
        <x:v>35</x:v>
      </x:c>
      <x:c r="W33" s="7" t="s">
        <x:v>120</x:v>
      </x:c>
      <x:c r="X33" s="7" t="s">
        <x:v>35</x:v>
      </x:c>
      <x:c r="Y33" s="7" t="str">
        <x:f t="shared" si="2"/>
        <x:v>Fully Operational</x:v>
      </x:c>
      <x:c r="Z33" s="7" t="str">
        <x:f t="shared" si="3"/>
        <x:v>None</x:v>
      </x:c>
      <x:c r="AA33" s="7" t="str">
        <x:f t="shared" si="4"/>
        <x:v>None</x:v>
      </x:c>
      <x:c r="AB33" s="7" t="str">
        <x:f t="shared" si="5"/>
        <x:v>No action needed</x:v>
      </x:c>
      <x:c r="AC33" s="7" t="str">
        <x:f t="shared" si="6"/>
        <x:v>None</x:v>
      </x:c>
      <x:c r="AD33" s="7" t="str">
        <x:f t="shared" si="7"/>
        <x:v>Complete</x:v>
      </x:c>
      <x:c r="AE33" s="7" t="str">
        <x:f t="shared" si="8"/>
      </x:c>
      <x:c r="AF33" s="7" t="s">
        <x:v>128</x:v>
      </x:c>
      <x:c r="AG33" s="31" t="str">
        <x:v>elliot.james@example.com</x:v>
      </x:c>
      <x:c r="AH33" s="31" t="str">
        <x:v>Arts &amp; Sciences Supervisor</x:v>
      </x:c>
      <x:c r="AI33" s="31" t="str">
        <x:v>arts.sciences.supervisor@example.com</x:v>
      </x:c>
      <x:c r="AJ33" s="31" t="str">
        <x:v>Email</x:v>
      </x:c>
    </x:row>
    <x:row r="34">
      <x:c r="A34" s="7" t="s">
        <x:v>131</x:v>
      </x:c>
      <x:c r="B34" s="7" t="s">
        <x:v>132</x:v>
      </x:c>
      <x:c r="C34" s="7" t="s">
        <x:v>86</x:v>
      </x:c>
      <x:c r="D34" s="9">
        <x:v>46282</x:v>
      </x:c>
      <x:c r="E34" s="7" t="n">
        <x:f>D34-Process_Rules!$B$2</x:f>
        <x:v>0</x:v>
      </x:c>
      <x:c r="F34" s="7" t="s">
        <x:v>35</x:v>
      </x:c>
      <x:c r="G34" s="7" t="s">
        <x:v>35</x:v>
      </x:c>
      <x:c r="H34" s="7" t="s">
        <x:v>35</x:v>
      </x:c>
      <x:c r="I34" s="7" t="s">
        <x:v>35</x:v>
      </x:c>
      <x:c r="J34" s="7" t="s">
        <x:v>35</x:v>
      </x:c>
      <x:c r="K34" s="7" t="s">
        <x:v>35</x:v>
      </x:c>
      <x:c r="L34" s="7" t="s">
        <x:v>35</x:v>
      </x:c>
      <x:c r="M34" s="7" t="s">
        <x:v>35</x:v>
      </x:c>
      <x:c r="N34" s="7" t="s">
        <x:v>35</x:v>
      </x:c>
      <x:c r="O34" s="7" t="s">
        <x:v>35</x:v>
      </x:c>
      <x:c r="P34" s="7" t="s">
        <x:v>35</x:v>
      </x:c>
      <x:c r="Q34" s="7" t="s">
        <x:v>35</x:v>
      </x:c>
      <x:c r="R34" s="7" t="s">
        <x:v>35</x:v>
      </x:c>
      <x:c r="S34" s="10">
        <x:f t="shared" si="0"/>
        <x:v>1</x:v>
      </x:c>
      <x:c r="T34" s="7" t="str">
        <x:f t="shared" si="1"/>
        <x:v>Ready</x:v>
      </x:c>
      <x:c r="U34" s="7" t="s">
        <x:v>101</x:v>
      </x:c>
      <x:c r="V34" s="7" t="s">
        <x:v>35</x:v>
      </x:c>
      <x:c r="W34" s="7" t="s">
        <x:v>120</x:v>
      </x:c>
      <x:c r="X34" s="7" t="s">
        <x:v>35</x:v>
      </x:c>
      <x:c r="Y34" s="7" t="str">
        <x:f t="shared" si="2"/>
        <x:v>Fully Operational</x:v>
      </x:c>
      <x:c r="Z34" s="7" t="str">
        <x:f t="shared" si="3"/>
        <x:v>None</x:v>
      </x:c>
      <x:c r="AA34" s="7" t="str">
        <x:f t="shared" si="4"/>
        <x:v>None</x:v>
      </x:c>
      <x:c r="AB34" s="7" t="str">
        <x:f t="shared" si="5"/>
        <x:v>No action needed</x:v>
      </x:c>
      <x:c r="AC34" s="7" t="str">
        <x:f t="shared" si="6"/>
        <x:v>None</x:v>
      </x:c>
      <x:c r="AD34" s="7" t="str">
        <x:f t="shared" si="7"/>
        <x:v>Complete</x:v>
      </x:c>
      <x:c r="AE34" s="7" t="str">
        <x:f t="shared" si="8"/>
      </x:c>
      <x:c r="AF34" s="7" t="s">
        <x:v>128</x:v>
      </x:c>
      <x:c r="AG34" s="31" t="str">
        <x:v>sage.bell@example.com</x:v>
      </x:c>
      <x:c r="AH34" s="31" t="str">
        <x:v>Public Safety Supervisor</x:v>
      </x:c>
      <x:c r="AI34" s="31" t="str">
        <x:v>public.safety.supervisor@example.com</x:v>
      </x:c>
      <x:c r="AJ34" s="31" t="str">
        <x:v>Email</x:v>
      </x:c>
    </x:row>
    <x:row r="35">
      <x:c r="A35" s="7" t="s">
        <x:v>133</x:v>
      </x:c>
      <x:c r="B35" s="7" t="s">
        <x:v>134</x:v>
      </x:c>
      <x:c r="C35" s="7" t="s">
        <x:v>89</x:v>
      </x:c>
      <x:c r="D35" s="9">
        <x:v>46283</x:v>
      </x:c>
      <x:c r="E35" s="7" t="n">
        <x:f>D35-Process_Rules!$B$2</x:f>
        <x:v>1</x:v>
      </x:c>
      <x:c r="F35" s="7" t="s">
        <x:v>35</x:v>
      </x:c>
      <x:c r="G35" s="7" t="s">
        <x:v>35</x:v>
      </x:c>
      <x:c r="H35" s="7" t="s">
        <x:v>35</x:v>
      </x:c>
      <x:c r="I35" s="7" t="s">
        <x:v>35</x:v>
      </x:c>
      <x:c r="J35" s="7" t="s">
        <x:v>35</x:v>
      </x:c>
      <x:c r="K35" s="7" t="s">
        <x:v>35</x:v>
      </x:c>
      <x:c r="L35" s="7" t="s">
        <x:v>35</x:v>
      </x:c>
      <x:c r="M35" s="7" t="s">
        <x:v>35</x:v>
      </x:c>
      <x:c r="N35" s="7" t="s">
        <x:v>35</x:v>
      </x:c>
      <x:c r="O35" s="7" t="s">
        <x:v>35</x:v>
      </x:c>
      <x:c r="P35" s="7" t="s">
        <x:v>35</x:v>
      </x:c>
      <x:c r="Q35" s="7" t="s">
        <x:v>35</x:v>
      </x:c>
      <x:c r="R35" s="7" t="s">
        <x:v>35</x:v>
      </x:c>
      <x:c r="S35" s="10">
        <x:f t="shared" si="0"/>
        <x:v>1</x:v>
      </x:c>
      <x:c r="T35" s="7" t="str">
        <x:f t="shared" si="1"/>
        <x:v>Ready</x:v>
      </x:c>
      <x:c r="U35" s="7" t="s">
        <x:v>101</x:v>
      </x:c>
      <x:c r="V35" s="7" t="s">
        <x:v>35</x:v>
      </x:c>
      <x:c r="W35" s="7" t="s">
        <x:v>120</x:v>
      </x:c>
      <x:c r="X35" s="7" t="s">
        <x:v>35</x:v>
      </x:c>
      <x:c r="Y35" s="7" t="str">
        <x:f t="shared" si="2"/>
        <x:v>Fully Operational</x:v>
      </x:c>
      <x:c r="Z35" s="7" t="str">
        <x:f t="shared" si="3"/>
        <x:v>None</x:v>
      </x:c>
      <x:c r="AA35" s="7" t="str">
        <x:f t="shared" si="4"/>
        <x:v>None</x:v>
      </x:c>
      <x:c r="AB35" s="7" t="str">
        <x:f t="shared" si="5"/>
        <x:v>No action needed</x:v>
      </x:c>
      <x:c r="AC35" s="7" t="str">
        <x:f t="shared" si="6"/>
        <x:v>None</x:v>
      </x:c>
      <x:c r="AD35" s="7" t="str">
        <x:f t="shared" si="7"/>
        <x:v>Complete</x:v>
      </x:c>
      <x:c r="AE35" s="7" t="str">
        <x:f t="shared" si="8"/>
      </x:c>
      <x:c r="AF35" s="7" t="s">
        <x:v>128</x:v>
      </x:c>
      <x:c r="AG35" s="31" t="str">
        <x:v>marley.wood@example.com</x:v>
      </x:c>
      <x:c r="AH35" s="31" t="str">
        <x:v>Foundation Supervisor</x:v>
      </x:c>
      <x:c r="AI35" s="31" t="str">
        <x:v>foundation.supervisor@example.com</x:v>
      </x:c>
      <x:c r="AJ35" s="31" t="str">
        <x:v>Email</x:v>
      </x:c>
    </x:row>
    <x:row r="36" ht="28.799999237060547">
      <x:c r="A36" s="7" t="s">
        <x:v>135</x:v>
      </x:c>
      <x:c r="B36" s="7" t="s">
        <x:v>136</x:v>
      </x:c>
      <x:c r="C36" s="7" t="s">
        <x:v>93</x:v>
      </x:c>
      <x:c r="D36" s="9">
        <x:v>46283</x:v>
      </x:c>
      <x:c r="E36" s="7" t="n">
        <x:f>D36-Process_Rules!$B$2</x:f>
        <x:v>1</x:v>
      </x:c>
      <x:c r="F36" s="7" t="s">
        <x:v>35</x:v>
      </x:c>
      <x:c r="G36" s="7" t="s">
        <x:v>35</x:v>
      </x:c>
      <x:c r="H36" s="7" t="s">
        <x:v>72</x:v>
      </x:c>
      <x:c r="I36" s="7" t="s">
        <x:v>72</x:v>
      </x:c>
      <x:c r="J36" s="7" t="s">
        <x:v>72</x:v>
      </x:c>
      <x:c r="K36" s="7" t="s">
        <x:v>35</x:v>
      </x:c>
      <x:c r="L36" s="7" t="s">
        <x:v>35</x:v>
      </x:c>
      <x:c r="M36" s="7" t="s">
        <x:v>35</x:v>
      </x:c>
      <x:c r="N36" s="7" t="s">
        <x:v>35</x:v>
      </x:c>
      <x:c r="O36" s="7" t="s">
        <x:v>35</x:v>
      </x:c>
      <x:c r="P36" s="7" t="s">
        <x:v>35</x:v>
      </x:c>
      <x:c r="Q36" s="7" t="s">
        <x:v>35</x:v>
      </x:c>
      <x:c r="R36" s="7" t="s">
        <x:v>35</x:v>
      </x:c>
      <x:c r="S36" s="10">
        <x:f t="shared" si="0"/>
        <x:v>0.72727272727272729</x:v>
      </x:c>
      <x:c r="T36" s="7" t="str">
        <x:f t="shared" si="1"/>
        <x:v>Not Ready</x:v>
      </x:c>
      <x:c r="U36" s="7" t="s">
        <x:v>101</x:v>
      </x:c>
      <x:c r="V36" s="7" t="s">
        <x:v>137</x:v>
      </x:c>
      <x:c r="W36" s="7" t="s">
        <x:v>38</x:v>
      </x:c>
      <x:c r="X36" s="7" t="s">
        <x:v>73</x:v>
      </x:c>
      <x:c r="Y36" s="7" t="str">
        <x:f t="shared" si="2"/>
        <x:v>Exception / Payroll Risk</x:v>
      </x:c>
      <x:c r="Z36" s="7" t="str">
        <x:f t="shared" si="3"/>
        <x:v>Missing payroll information</x:v>
      </x:c>
      <x:c r="AA36" s="7" t="str">
        <x:f t="shared" si="4"/>
        <x:v>Payroll setup / pay accuracy</x:v>
      </x:c>
      <x:c r="AB36" s="7" t="str">
        <x:f t="shared" si="5"/>
        <x:v>Submit missing tax/direct-deposit information; HR verifies payroll screens</x:v>
      </x:c>
      <x:c r="AC36" s="7" t="str">
        <x:f t="shared" si="6"/>
        <x:v>New Hire / HR</x:v>
      </x:c>
      <x:c r="AD36" s="7" t="str">
        <x:f t="shared" si="7"/>
        <x:v>High</x:v>
      </x:c>
      <x:c r="AE36" s="7" t="str">
        <x:f t="shared" si="8"/>
        <x:v>Payroll Risk Exception</x:v>
      </x:c>
      <x:c r="AF36" s="7" t="s">
        <x:v>138</x:v>
      </x:c>
      <x:c r="AG36" s="31" t="str">
        <x:v>tatum.gray@example.com</x:v>
      </x:c>
      <x:c r="AH36" s="31" t="str">
        <x:v>Workforce Development Supervisor</x:v>
      </x:c>
      <x:c r="AI36" s="31" t="str">
        <x:v>workforce.development.supervisor@example.com</x:v>
      </x:c>
      <x:c r="AJ36" s="31" t="str">
        <x:v>Email</x:v>
      </x:c>
    </x:row>
    <x:row r="37" ht="28.799999237060547">
      <x:c r="A37" s="7" t="s">
        <x:v>139</x:v>
      </x:c>
      <x:c r="B37" s="7" t="s">
        <x:v>140</x:v>
      </x:c>
      <x:c r="C37" s="7" t="s">
        <x:v>96</x:v>
      </x:c>
      <x:c r="D37" s="9">
        <x:v>46281</x:v>
      </x:c>
      <x:c r="E37" s="7" t="n">
        <x:f>D37-Process_Rules!$B$2</x:f>
        <x:v>-1</x:v>
      </x:c>
      <x:c r="F37" s="7" t="s">
        <x:v>35</x:v>
      </x:c>
      <x:c r="G37" s="7" t="s">
        <x:v>35</x:v>
      </x:c>
      <x:c r="H37" s="7" t="s">
        <x:v>72</x:v>
      </x:c>
      <x:c r="I37" s="7" t="s">
        <x:v>72</x:v>
      </x:c>
      <x:c r="J37" s="7" t="s">
        <x:v>72</x:v>
      </x:c>
      <x:c r="K37" s="7" t="s">
        <x:v>35</x:v>
      </x:c>
      <x:c r="L37" s="7" t="s">
        <x:v>35</x:v>
      </x:c>
      <x:c r="M37" s="7" t="s">
        <x:v>35</x:v>
      </x:c>
      <x:c r="N37" s="7" t="s">
        <x:v>35</x:v>
      </x:c>
      <x:c r="O37" s="7" t="s">
        <x:v>35</x:v>
      </x:c>
      <x:c r="P37" s="7" t="s">
        <x:v>35</x:v>
      </x:c>
      <x:c r="Q37" s="7" t="s">
        <x:v>35</x:v>
      </x:c>
      <x:c r="R37" s="7" t="s">
        <x:v>52</x:v>
      </x:c>
      <x:c r="S37" s="10">
        <x:f t="shared" si="0"/>
        <x:v>0.72727272727272729</x:v>
      </x:c>
      <x:c r="T37" s="7" t="str">
        <x:f t="shared" si="1"/>
        <x:v>Not Ready</x:v>
      </x:c>
      <x:c r="U37" s="7" t="s">
        <x:v>101</x:v>
      </x:c>
      <x:c r="V37" s="7" t="s">
        <x:v>137</x:v>
      </x:c>
      <x:c r="W37" s="7" t="s">
        <x:v>38</x:v>
      </x:c>
      <x:c r="X37" s="7" t="s">
        <x:v>73</x:v>
      </x:c>
      <x:c r="Y37" s="7" t="str">
        <x:f t="shared" si="2"/>
        <x:v>Exception / Payroll Risk</x:v>
      </x:c>
      <x:c r="Z37" s="7" t="str">
        <x:f t="shared" si="3"/>
        <x:v>Missing payroll information</x:v>
      </x:c>
      <x:c r="AA37" s="7" t="str">
        <x:f t="shared" si="4"/>
        <x:v>Payroll setup / pay accuracy</x:v>
      </x:c>
      <x:c r="AB37" s="7" t="str">
        <x:f t="shared" si="5"/>
        <x:v>Submit missing tax/direct-deposit information; HR verifies payroll screens</x:v>
      </x:c>
      <x:c r="AC37" s="7" t="str">
        <x:f t="shared" si="6"/>
        <x:v>New Hire / HR</x:v>
      </x:c>
      <x:c r="AD37" s="7" t="str">
        <x:f t="shared" si="7"/>
        <x:v>Critical</x:v>
      </x:c>
      <x:c r="AE37" s="7" t="str">
        <x:f t="shared" si="8"/>
        <x:v>Payroll Risk Exception</x:v>
      </x:c>
      <x:c r="AF37" s="7" t="s">
        <x:v>138</x:v>
      </x:c>
      <x:c r="AG37" s="31" t="str">
        <x:v>arden.cook@example.com</x:v>
      </x:c>
      <x:c r="AH37" s="31" t="str">
        <x:v>Athletics Supervisor</x:v>
      </x:c>
      <x:c r="AI37" s="31" t="str">
        <x:v>athletics.supervisor@example.com</x:v>
      </x:c>
      <x:c r="AJ37" s="31" t="str">
        <x:v>Email</x:v>
      </x:c>
    </x:row>
  </x:sheetData>
  <x:conditionalFormatting sqref="G2:R37">
    <x:cfRule type="expression" dxfId="62" priority="8">
      <x:formula>G2="Complete"</x:formula>
    </x:cfRule>
    <x:cfRule type="expression" dxfId="61" priority="9">
      <x:formula>G2="In Progress"</x:formula>
    </x:cfRule>
    <x:cfRule type="expression" dxfId="60" priority="10">
      <x:formula>G2="Not Started"</x:formula>
    </x:cfRule>
    <x:cfRule type="expression" dxfId="59" priority="11">
      <x:formula>G2="Missing"</x:formula>
    </x:cfRule>
  </x:conditionalFormatting>
  <x:conditionalFormatting sqref="S2:S37">
    <x:cfRule type="dataBar" priority="7">
      <x:dataBar>
        <x:cfvo type="min"/>
        <x:cfvo type="max"/>
        <x:color rgb="FF1F4E78"/>
      </x:dataBar>
    </x:cfRule>
    <x:cfRule type="dataBar" priority="31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{533CCADC-42DA-2EC6-896E-D81439DA58CE}</x14:id>
        </x:ext>
      </x:extLst>
    </x:cfRule>
  </x:conditionalFormatting>
  <x:conditionalFormatting sqref="T2:T37">
    <x:cfRule type="expression" dxfId="58" priority="29">
      <x:formula>T2="Ready"</x:formula>
    </x:cfRule>
    <x:cfRule type="expression" dxfId="57" priority="30">
      <x:formula>T2="Not Ready"</x:formula>
    </x:cfRule>
  </x:conditionalFormatting>
  <x:conditionalFormatting sqref="U2:X37">
    <x:cfRule type="expression" dxfId="56" priority="12">
      <x:formula>U2="Complete"</x:formula>
    </x:cfRule>
    <x:cfRule type="expression" dxfId="55" priority="13">
      <x:formula>U2="Created"</x:formula>
    </x:cfRule>
    <x:cfRule type="expression" dxfId="54" priority="14">
      <x:formula>U2="Yes"</x:formula>
    </x:cfRule>
    <x:cfRule type="expression" dxfId="53" priority="15">
      <x:formula>U2="In Progress"</x:formula>
    </x:cfRule>
    <x:cfRule type="expression" dxfId="52" priority="16">
      <x:formula>U2="At Risk"</x:formula>
    </x:cfRule>
    <x:cfRule type="expression" dxfId="51" priority="17">
      <x:formula>U2="Blocked"</x:formula>
    </x:cfRule>
    <x:cfRule type="expression" dxfId="50" priority="18">
      <x:formula>U2="Not Started"</x:formula>
    </x:cfRule>
    <x:cfRule type="expression" dxfId="49" priority="19">
      <x:formula>U2="Not Created"</x:formula>
    </x:cfRule>
    <x:cfRule type="expression" dxfId="48" priority="20">
      <x:formula>U2="No"</x:formula>
    </x:cfRule>
  </x:conditionalFormatting>
  <x:conditionalFormatting sqref="Y2:Y37">
    <x:cfRule type="expression" dxfId="47" priority="21">
      <x:formula>Y2="Not Started"</x:formula>
    </x:cfRule>
    <x:cfRule type="expression" dxfId="46" priority="22">
      <x:formula>Y2="Checklist In Progress"</x:formula>
    </x:cfRule>
    <x:cfRule type="expression" dxfId="45" priority="23">
      <x:formula>Y2="Ready for HRIS Setup"</x:formula>
    </x:cfRule>
    <x:cfRule type="expression" dxfId="44" priority="24">
      <x:formula>Y2="Compliance Pending"</x:formula>
    </x:cfRule>
    <x:cfRule type="expression" dxfId="43" priority="25">
      <x:formula>Y2="Ready for IT Notification"</x:formula>
    </x:cfRule>
    <x:cfRule type="expression" dxfId="42" priority="26">
      <x:formula>Y2="IT Provisioning"</x:formula>
    </x:cfRule>
    <x:cfRule type="expression" dxfId="41" priority="27">
      <x:formula>Y2="Exception / Payroll Risk"</x:formula>
    </x:cfRule>
    <x:cfRule type="expression" dxfId="40" priority="28">
      <x:formula>Y2="Fully Operational"</x:formula>
    </x:cfRule>
  </x:conditionalFormatting>
  <x:conditionalFormatting sqref="AD2:AD37">
    <x:cfRule type="expression" dxfId="39" priority="1">
      <x:formula>AD2="Critical"</x:formula>
    </x:cfRule>
    <x:cfRule type="expression" dxfId="38" priority="2">
      <x:formula>AD2="High"</x:formula>
    </x:cfRule>
    <x:cfRule type="expression" dxfId="37" priority="3">
      <x:formula>AD2="Medium"</x:formula>
    </x:cfRule>
    <x:cfRule type="expression" dxfId="36" priority="4">
      <x:formula>AD2="Low"</x:formula>
    </x:cfRule>
    <x:cfRule type="expression" dxfId="35" priority="5">
      <x:formula>AD2="Complete"</x:formula>
    </x:cfRule>
  </x:conditionalFormatting>
  <x:conditionalFormatting sqref="AE2:AE37">
    <x:cfRule type="expression" dxfId="34" priority="6">
      <x:formula>AE2&lt;&gt;""</x:formula>
    </x:cfRule>
  </x:conditionalFormatting>
  <x:dataValidations count="5">
    <x:dataValidation type="list" sqref="G2:R37">
      <x:formula1>"Not Started,In Progress,Complete,Missing"</x:formula1>
    </x:dataValidation>
    <x:dataValidation type="list" sqref="U2:U37">
      <x:formula1>"Not Created,Created"</x:formula1>
    </x:dataValidation>
    <x:dataValidation type="list" sqref="V2:V37">
      <x:formula1>"Not Started,Complete,At Risk"</x:formula1>
    </x:dataValidation>
    <x:dataValidation type="list" sqref="W2:W37">
      <x:formula1>"No,Yes"</x:formula1>
    </x:dataValidation>
    <x:dataValidation type="list" sqref="X2:X37">
      <x:formula1>"Not Started,Blocked,In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9014a2250d4fe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1" id="{533CCADC-42DA-2EC6-896E-D81439DA58CE}">
            <x14:dataBar>
              <x14:cfvo type="min"/>
              <x14:cfvo type="max"/>
              <x14:fillColor rgb="FF1F4E78"/>
              <x14:negativeFillColor auto="1"/>
              <x14:axisColor auto="1"/>
            </x14:dataBar>
          </x14:cfRule>
          <xm:sqref>S2:S37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14" customWidth="1"/>
    <x:col min="4" max="4" width="26" customWidth="1"/>
    <x:col min="5" max="5" width="12" customWidth="1"/>
  </x:cols>
  <x:sheetData>
    <x:row r="1" ht="22.799999237060547">
      <x:c r="A1" s="4" t="s">
        <x:v>141</x:v>
      </x:c>
      <x:c r="B1" s="4"/>
      <x:c r="C1" s="4"/>
      <x:c r="D1" s="4"/>
      <x:c r="E1" s="4"/>
      <x:c r="F1" s="4"/>
      <x:c r="G1" s="4"/>
      <x:c r="H1" s="4"/>
    </x:row>
    <x:row r="2" ht="14.399999618530273">
      <x:c r="A2" s="5" t="s">
        <x:v>142</x:v>
      </x:c>
      <x:c r="B2" s="5"/>
      <x:c r="C2" s="5"/>
      <x:c r="D2" s="5"/>
      <x:c r="E2" s="5"/>
      <x:c r="F2" s="5"/>
      <x:c r="G2" s="5"/>
      <x:c r="H2" s="5"/>
    </x:row>
    <x:row r="4">
      <x:c r="A4" s="1" t="s">
        <x:v>143</x:v>
      </x:c>
      <x:c r="B4" s="1" t="s">
        <x:v>144</x:v>
      </x:c>
      <x:c r="D4" s="1" t="s">
        <x:v>24</x:v>
      </x:c>
      <x:c r="E4" s="1" t="s">
        <x:v>145</x:v>
      </x:c>
    </x:row>
    <x:row r="5">
      <x:c r="A5" s="2" t="s">
        <x:v>146</x:v>
      </x:c>
      <x:c r="B5" s="2" t="n">
        <x:f>COUNTA(Employee_Data!A2:A37)</x:f>
        <x:v>36</x:v>
      </x:c>
      <x:c r="D5" s="2" t="s">
        <x:v>36</x:v>
      </x:c>
      <x:c r="E5" s="2" t="n">
        <x:f>COUNTIF(Employee_Data!Y2:Y37,D5)</x:f>
        <x:v>4</x:v>
      </x:c>
    </x:row>
    <x:row r="6">
      <x:c r="A6" s="2" t="s">
        <x:v>147</x:v>
      </x:c>
      <x:c r="B6" s="2" t="n">
        <x:f>COUNTIF(Employee_Data!Y2:Y37,"Fully Operational")</x:f>
        <x:v>4</x:v>
      </x:c>
      <x:c r="D6" s="2" t="s">
        <x:v>148</x:v>
      </x:c>
      <x:c r="E6" s="2" t="n">
        <x:f>COUNTIF(Employee_Data!Y2:Y37,D6)</x:f>
        <x:v>11</x:v>
      </x:c>
    </x:row>
    <x:row r="7">
      <x:c r="A7" s="2" t="s">
        <x:v>149</x:v>
      </x:c>
      <x:c r="B7" s="2" t="n">
        <x:f>COUNTIF(Employee_Data!AD2:AD37,"High")+COUNTIF(Employee_Data!AD2:AD37,"Critical")</x:f>
        <x:v>19</x:v>
      </x:c>
      <x:c r="D7" s="2" t="s">
        <x:v>150</x:v>
      </x:c>
      <x:c r="E7" s="2" t="n">
        <x:f>COUNTIF(Employee_Data!Y2:Y37,D7)</x:f>
        <x:v>4</x:v>
      </x:c>
    </x:row>
    <x:row r="8">
      <x:c r="A8" s="2" t="s">
        <x:v>151</x:v>
      </x:c>
      <x:c r="B8" s="2" t="n">
        <x:f>COUNTIF(Employee_Data!Y2:Y37,"Compliance Pending")</x:f>
        <x:v>5</x:v>
      </x:c>
      <x:c r="D8" s="2" t="s">
        <x:v>151</x:v>
      </x:c>
      <x:c r="E8" s="2" t="n">
        <x:f>COUNTIF(Employee_Data!Y2:Y37,D8)</x:f>
        <x:v>5</x:v>
      </x:c>
    </x:row>
    <x:row r="9">
      <x:c r="A9" s="2" t="s">
        <x:v>152</x:v>
      </x:c>
      <x:c r="B9" s="2" t="n">
        <x:f>COUNTIF(Employee_Data!Y2:Y37,"Ready for HRIS Setup")</x:f>
        <x:v>4</x:v>
      </x:c>
      <x:c r="D9" s="2" t="s">
        <x:v>153</x:v>
      </x:c>
      <x:c r="E9" s="2" t="n">
        <x:f>COUNTIF(Employee_Data!Y2:Y37,D9)</x:f>
        <x:v>3</x:v>
      </x:c>
    </x:row>
    <x:row r="10">
      <x:c r="A10" s="2" t="s">
        <x:v>154</x:v>
      </x:c>
      <x:c r="B10" s="2" t="n">
        <x:f>COUNTIF(Employee_Data!Y2:Y37,"Ready for IT Notification")</x:f>
        <x:v>3</x:v>
      </x:c>
      <x:c r="D10" s="2" t="s">
        <x:v>155</x:v>
      </x:c>
      <x:c r="E10" s="2" t="n">
        <x:f>COUNTIF(Employee_Data!Y2:Y37,D10)</x:f>
        <x:v>3</x:v>
      </x:c>
    </x:row>
    <x:row r="11">
      <x:c r="A11" s="2" t="s">
        <x:v>156</x:v>
      </x:c>
      <x:c r="B11" s="2" t="n">
        <x:f>COUNTIF(Employee_Data!AE2:AE37,"Payroll Risk Exception")</x:f>
        <x:v>2</x:v>
      </x:c>
      <x:c r="D11" s="2" t="s">
        <x:v>157</x:v>
      </x:c>
      <x:c r="E11" s="2" t="n">
        <x:f>COUNTIF(Employee_Data!Y2:Y37,D11)</x:f>
        <x:v>2</x:v>
      </x:c>
    </x:row>
    <x:row r="12">
      <x:c r="D12" s="2" t="s">
        <x:v>147</x:v>
      </x:c>
      <x:c r="E12" s="2" t="n">
        <x:f>COUNTIF(Employee_Data!Y2:Y37,D12)</x:f>
        <x:v>4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4103a1827574d4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90" customWidth="1"/>
  </x:cols>
  <x:sheetData>
    <x:row r="1" ht="27.600000381469727">
      <x:c r="A1" s="1" t="s">
        <x:v>158</x:v>
      </x:c>
      <x:c r="B1" s="2" t="s">
        <x:v>159</x:v>
      </x:c>
    </x:row>
    <x:row r="2">
      <x:c r="A2" s="2" t="s">
        <x:v>160</x:v>
      </x:c>
      <x:c r="B2" s="3">
        <x:v>46282</x:v>
      </x:c>
    </x:row>
    <x:row r="3" ht="27.600000381469727">
      <x:c r="A3" s="2" t="s">
        <x:v>161</x:v>
      </x:c>
      <x:c r="B3" s="2" t="s">
        <x:v>162</x:v>
      </x:c>
    </x:row>
    <x:row r="4" ht="27.600000381469727">
      <x:c r="A4" s="2" t="s">
        <x:v>163</x:v>
      </x:c>
      <x:c r="B4" s="2" t="s">
        <x:v>164</x:v>
      </x:c>
    </x:row>
    <x:row r="5" ht="27.600000381469727">
      <x:c r="A5" s="2" t="s">
        <x:v>165</x:v>
      </x:c>
      <x:c r="B5" s="2" t="s">
        <x:v>166</x:v>
      </x:c>
    </x:row>
    <x:row r="6">
      <x:c r="A6" s="2" t="s">
        <x:v>167</x:v>
      </x:c>
      <x:c r="B6" s="2" t="s">
        <x:v>168</x:v>
      </x:c>
    </x:row>
    <x:row r="7">
      <x:c r="A7" s="2" t="s">
        <x:v>169</x:v>
      </x:c>
      <x:c r="B7" s="2" t="s">
        <x:v>170</x:v>
      </x:c>
    </x:row>
    <x:row r="8">
      <x:c r="A8" s="2" t="s">
        <x:v>171</x:v>
      </x:c>
      <x:c r="B8" s="2" t="s">
        <x:v>172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28" customWidth="1"/>
    <x:col min="3" max="4" width="24" customWidth="1"/>
    <x:col min="5" max="5" width="38" customWidth="1"/>
    <x:col min="6" max="6" width="24" customWidth="1"/>
  </x:cols>
  <x:sheetData>
    <x:row r="1">
      <x:c r="A1" s="1" t="s">
        <x:v>173</x:v>
      </x:c>
      <x:c r="B1" s="2" t="s">
        <x:v>174</x:v>
      </x:c>
      <x:c r="C1" s="2" t="s">
        <x:v>175</x:v>
      </x:c>
      <x:c r="D1" s="2" t="s">
        <x:v>176</x:v>
      </x:c>
      <x:c r="E1" s="2" t="s">
        <x:v>177</x:v>
      </x:c>
      <x:c r="F1" s="2" t="s">
        <x:v>178</x:v>
      </x:c>
    </x:row>
    <x:row r="2">
      <x:c r="A2" s="2" t="s">
        <x:v>39</x:v>
      </x:c>
      <x:c r="B2" s="2" t="s">
        <x:v>179</x:v>
      </x:c>
      <x:c r="C2" s="2" t="s">
        <x:v>36</x:v>
      </x:c>
      <x:c r="D2" s="2" t="s">
        <x:v>180</x:v>
      </x:c>
      <x:c r="E2" s="2" t="s">
        <x:v>181</x:v>
      </x:c>
      <x:c r="F2" s="2" t="s">
        <x:v>182</x:v>
      </x:c>
    </x:row>
    <x:row r="3" ht="27.600000381469727">
      <x:c r="A3" s="2" t="s">
        <x:v>74</x:v>
      </x:c>
      <x:c r="B3" s="2" t="s">
        <x:v>183</x:v>
      </x:c>
      <x:c r="C3" s="2" t="s">
        <x:v>148</x:v>
      </x:c>
      <x:c r="D3" s="2" t="s">
        <x:v>184</x:v>
      </x:c>
      <x:c r="E3" s="2" t="s">
        <x:v>185</x:v>
      </x:c>
      <x:c r="F3" s="2" t="s">
        <x:v>186</x:v>
      </x:c>
    </x:row>
    <x:row r="4" ht="27.600000381469727">
      <x:c r="A4" s="2" t="s">
        <x:v>90</x:v>
      </x:c>
      <x:c r="B4" s="2" t="s">
        <x:v>187</x:v>
      </x:c>
      <x:c r="C4" s="2" t="s">
        <x:v>150</x:v>
      </x:c>
      <x:c r="D4" s="2" t="s">
        <x:v>188</x:v>
      </x:c>
      <x:c r="E4" s="2" t="s">
        <x:v>189</x:v>
      </x:c>
      <x:c r="F4" s="2" t="s">
        <x:v>190</x:v>
      </x:c>
    </x:row>
    <x:row r="5">
      <x:c r="A5" s="2" t="s">
        <x:v>102</x:v>
      </x:c>
      <x:c r="B5" s="2" t="s">
        <x:v>191</x:v>
      </x:c>
      <x:c r="C5" s="2" t="s">
        <x:v>151</x:v>
      </x:c>
      <x:c r="D5" s="2" t="s">
        <x:v>17</x:v>
      </x:c>
      <x:c r="E5" s="2" t="s">
        <x:v>192</x:v>
      </x:c>
      <x:c r="F5" s="2" t="s">
        <x:v>167</x:v>
      </x:c>
    </x:row>
    <x:row r="6">
      <x:c r="A6" s="2" t="s">
        <x:v>113</x:v>
      </x:c>
      <x:c r="B6" s="2" t="s">
        <x:v>193</x:v>
      </x:c>
      <x:c r="C6" s="2" t="s">
        <x:v>153</x:v>
      </x:c>
      <x:c r="D6" s="2" t="s">
        <x:v>194</x:v>
      </x:c>
      <x:c r="E6" s="2" t="s">
        <x:v>195</x:v>
      </x:c>
      <x:c r="F6" s="2" t="s">
        <x:v>196</x:v>
      </x:c>
    </x:row>
    <x:row r="7" ht="27.600000381469727">
      <x:c r="A7" s="2" t="s">
        <x:v>121</x:v>
      </x:c>
      <x:c r="B7" s="2" t="s">
        <x:v>197</x:v>
      </x:c>
      <x:c r="C7" s="2" t="s">
        <x:v>155</x:v>
      </x:c>
      <x:c r="D7" s="2" t="s">
        <x:v>198</x:v>
      </x:c>
      <x:c r="E7" s="2" t="s">
        <x:v>199</x:v>
      </x:c>
      <x:c r="F7" s="2" t="s">
        <x:v>200</x:v>
      </x:c>
    </x:row>
    <x:row r="8">
      <x:c r="A8" s="2" t="s">
        <x:v>128</x:v>
      </x:c>
      <x:c r="B8" s="2" t="s">
        <x:v>201</x:v>
      </x:c>
      <x:c r="C8" s="2" t="s">
        <x:v>147</x:v>
      </x:c>
      <x:c r="D8" s="2" t="s">
        <x:v>202</x:v>
      </x:c>
      <x:c r="E8" s="2" t="s">
        <x:v>203</x:v>
      </x:c>
      <x:c r="F8" s="2" t="s">
        <x:v>204</x:v>
      </x:c>
    </x:row>
    <x:row r="9" ht="27.600000381469727">
      <x:c r="A9" s="2" t="s">
        <x:v>138</x:v>
      </x:c>
      <x:c r="B9" s="2" t="s">
        <x:v>205</x:v>
      </x:c>
      <x:c r="C9" s="2" t="s">
        <x:v>157</x:v>
      </x:c>
      <x:c r="D9" s="2" t="s">
        <x:v>206</x:v>
      </x:c>
      <x:c r="E9" s="2" t="s">
        <x:v>207</x:v>
      </x:c>
      <x:c r="F9" s="2" t="s">
        <x:v>208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5" customWidth="1"/>
    <x:col min="2" max="2" width="95" customWidth="1"/>
  </x:cols>
  <x:sheetData>
    <x:row r="1">
      <x:c r="A1" s="1" t="s">
        <x:v>209</x:v>
      </x:c>
      <x:c r="B1" s="2" t="s">
        <x:v>210</x:v>
      </x:c>
    </x:row>
    <x:row r="2">
      <x:c r="A2" s="2" t="s">
        <x:v>211</x:v>
      </x:c>
      <x:c r="B2" s="2" t="s">
        <x:v>212</x:v>
      </x:c>
    </x:row>
    <x:row r="3">
      <x:c r="A3" s="2" t="s">
        <x:v>17</x:v>
      </x:c>
      <x:c r="B3" s="2" t="s">
        <x:v>213</x:v>
      </x:c>
    </x:row>
    <x:row r="4">
      <x:c r="A4" s="2" t="s">
        <x:v>18</x:v>
      </x:c>
      <x:c r="B4" s="2" t="s">
        <x:v>214</x:v>
      </x:c>
    </x:row>
    <x:row r="5">
      <x:c r="A5" s="2" t="s">
        <x:v>19</x:v>
      </x:c>
      <x:c r="B5" s="2" t="s">
        <x:v>215</x:v>
      </x:c>
    </x:row>
    <x:row r="6">
      <x:c r="A6" s="2" t="s">
        <x:v>20</x:v>
      </x:c>
      <x:c r="B6" s="2" t="s">
        <x:v>216</x:v>
      </x:c>
    </x:row>
    <x:row r="7" ht="27.600000381469727">
      <x:c r="A7" s="2" t="s">
        <x:v>21</x:v>
      </x:c>
      <x:c r="B7" s="2" t="s">
        <x:v>217</x:v>
      </x:c>
    </x:row>
    <x:row r="8">
      <x:c r="A8" s="2" t="s">
        <x:v>22</x:v>
      </x:c>
      <x:c r="B8" s="2" t="s">
        <x:v>218</x:v>
      </x:c>
    </x:row>
    <x:row r="9">
      <x:c r="A9" s="2" t="s">
        <x:v>23</x:v>
      </x:c>
      <x:c r="B9" s="2" t="s">
        <x:v>219</x:v>
      </x:c>
    </x:row>
    <x:row r="10">
      <x:c r="A10" s="2" t="s">
        <x:v>24</x:v>
      </x:c>
      <x:c r="B10" s="2" t="s">
        <x:v>220</x:v>
      </x:c>
    </x:row>
    <x:row r="11">
      <x:c r="A11" s="2" t="s">
        <x:v>25</x:v>
      </x:c>
      <x:c r="B11" s="2" t="s">
        <x:v>221</x:v>
      </x:c>
    </x:row>
    <x:row r="12">
      <x:c r="A12" s="2" t="s">
        <x:v>26</x:v>
      </x:c>
      <x:c r="B12" s="2" t="s">
        <x:v>222</x:v>
      </x:c>
    </x:row>
    <x:row r="13">
      <x:c r="A13" s="2" t="s">
        <x:v>27</x:v>
      </x:c>
      <x:c r="B13" s="2" t="s">
        <x:v>223</x:v>
      </x:c>
    </x:row>
    <x:row r="14">
      <x:c r="A14" s="2" t="s">
        <x:v>28</x:v>
      </x:c>
      <x:c r="B14" s="2" t="s">
        <x:v>224</x:v>
      </x:c>
    </x:row>
    <x:row r="15">
      <x:c r="A15" s="2" t="s">
        <x:v>29</x:v>
      </x:c>
      <x:c r="B15" s="2" t="s">
        <x:v>225</x:v>
      </x:c>
    </x:row>
    <x:row r="16">
      <x:c r="A16" s="2" t="s">
        <x:v>30</x:v>
      </x:c>
      <x:c r="B16" s="2" t="s">
        <x:v>226</x:v>
      </x:c>
    </x:row>
    <x:row r="17">
      <x:c r="A17" s="2" t="s">
        <x:v>31</x:v>
      </x:c>
      <x:c r="B17" s="2" t="s">
        <x:v>227</x:v>
      </x:c>
    </x:row>
    <x:row r="18">
      <x:c r="A18" s="31" t="str">
        <x:v>Employee Email</x:v>
      </x:c>
      <x:c r="B18" s="31" t="str">
        <x:v>Optional fictional address used by the prototype to prefill new-hire reminders.</x:v>
      </x:c>
    </x:row>
    <x:row r="19">
      <x:c r="A19" s="31" t="str">
        <x:v>Supervisor Name</x:v>
      </x:c>
      <x:c r="B19" s="31" t="str">
        <x:v>Optional supervisor display name for reminder routing.</x:v>
      </x:c>
    </x:row>
    <x:row r="20">
      <x:c r="A20" s="31" t="str">
        <x:v>Supervisor Email</x:v>
      </x:c>
      <x:c r="B20" s="31" t="str">
        <x:v>Optional fictional supervisor address for reminder routing.</x:v>
      </x:c>
    </x:row>
    <x:row r="21">
      <x:c r="A21" s="31" t="str">
        <x:v>Preferred Reminder Channel</x:v>
      </x:c>
      <x:c r="B21" s="31" t="str">
        <x:v>Optional communication preference; prototype currently supports email.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34" hidden="0" customWidth="1"/>
  </x:cols>
  <x:sheetData>
    <x:row r="1">
      <x:c r="A1" s="30" t="str">
        <x:v>Role</x:v>
      </x:c>
      <x:c r="B1" s="30" t="str">
        <x:v>Name</x:v>
      </x:c>
      <x:c r="C1" s="30" t="str">
        <x:v>Email</x:v>
      </x:c>
      <x:c r="D1" s="30" t="str">
        <x:v>Use</x:v>
      </x:c>
    </x:row>
    <x:row r="2">
      <x:c r="A2" s="31" t="str">
        <x:v>HR</x:v>
      </x:c>
      <x:c r="B2" s="31" t="str">
        <x:v>Demo HR Coordinator</x:v>
      </x:c>
      <x:c r="C2" s="31" t="str">
        <x:v>hr.onboarding@example.com</x:v>
      </x:c>
      <x:c r="D2" s="31" t="str">
        <x:v>Default HR sender / internal owner</x:v>
      </x:c>
    </x:row>
    <x:row r="3">
      <x:c r="A3" s="31" t="str">
        <x:v>IT</x:v>
      </x:c>
      <x:c r="B3" s="31" t="str">
        <x:v>Demo IT Service Desk</x:v>
      </x:c>
      <x:c r="C3" s="31" t="str">
        <x:v>it.access@example.com</x:v>
      </x:c>
      <x:c r="D3" s="31" t="str">
        <x:v>Default IT access contact</x:v>
      </x:c>
    </x:row>
    <x:row r="4">
      <x:c r="A4" s="31" t="str">
        <x:v>Payroll</x:v>
      </x:c>
      <x:c r="B4" s="31" t="str">
        <x:v>Demo Payroll Team</x:v>
      </x:c>
      <x:c r="C4" s="31" t="str">
        <x:v>payroll@example.com</x:v>
      </x:c>
      <x:c r="D4" s="31" t="str">
        <x:v>Payroll escalation/contact</x:v>
      </x:c>
    </x:row>
    <x:row r="5">
      <x:c r="A5" s="31" t="str">
        <x:v>Supervisor</x:v>
      </x:c>
      <x:c r="B5" s="31" t="str">
        <x:v>Use employee row</x:v>
      </x:c>
      <x:c r="C5" s="31" t="str">
        <x:v>Use employee row</x:v>
      </x:c>
      <x:c r="D5" s="31" t="str">
        <x:v>Resolved from Employee_Data</x:v>
      </x:c>
    </x:row>
    <x:row r="6">
      <x:c r="A6" s="31" t="str">
        <x:v>New Hire</x:v>
      </x:c>
      <x:c r="B6" s="31" t="str">
        <x:v>Use employee row</x:v>
      </x:c>
      <x:c r="C6" s="31" t="str">
        <x:v>Use employee row</x:v>
      </x:c>
      <x:c r="D6" s="31" t="str">
        <x:v>Resolved from Employee_Data</x:v>
      </x:c>
    </x:row>
  </x:sheetData>
  <x:pageMargins left="0.7" right="0.7" top="0.75" bottom="0.75" header="0.3" footer="0.3"/>
</x:worksheet>
</file>